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948f0417a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ksi" sheetId="1" r:id="R9f63138f650146bf"/>
    <x:sheet xmlns:r="http://schemas.openxmlformats.org/officeDocument/2006/relationships" name="Ringkasan Bulanan" sheetId="2" r:id="Rdf159b9b6fa141c2"/>
    <x:sheet xmlns:r="http://schemas.openxmlformats.org/officeDocument/2006/relationships" name="Ringkasan Kategori" sheetId="3" r:id="R770560e985794992"/>
    <x:sheet xmlns:r="http://schemas.openxmlformats.org/officeDocument/2006/relationships" name="Top Merchant" sheetId="4" r:id="Rf4ebfcea515d404a"/>
    <x:sheet xmlns:r="http://schemas.openxmlformats.org/officeDocument/2006/relationships" name="Dashboard" sheetId="5" r:id="Rbedc528977ab4390"/>
    <x:sheet xmlns:r="http://schemas.openxmlformats.org/officeDocument/2006/relationships" name="Strategi" sheetId="6" r:id="Re8663764df3d4c9e"/>
    <x:sheet xmlns:r="http://schemas.openxmlformats.org/officeDocument/2006/relationships" name="Sumber &amp; Metode" sheetId="7" r:id="Rcf1caac3b0f1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&quot;Rp&quot;#,##0"/>
    <x:numFmt numFmtId="202" formatCode="0.0%"/>
    <x:numFmt numFmtId="203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B4A40"/>
      <x:name val="Carlito"/>
    </x:font>
    <x:font>
      <x:b/>
      <x:sz val="11"/>
      <x:color rgb="FFFFFFFF"/>
      <x:name val="Carlito"/>
    </x:font>
    <x:font>
      <x:sz val="11"/>
      <x:color rgb="FF12372A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436850"/>
      </x:patternFill>
    </x:fill>
    <x:fill>
      <x:patternFill patternType="solid">
        <x:fgColor rgb="FFF3F7F0"/>
      </x:patternFill>
    </x:fill>
    <x:fill>
      <x:patternFill patternType="solid">
        <x:fgColor rgb="FFE7F0E2"/>
      </x:patternFill>
    </x:fill>
  </x:fills>
  <x:borders count="10">
    <x:border/>
    <x:border>
      <x:left style="thin">
        <x:color rgb="FFA8B5A3"/>
      </x:left>
      <x:top style="thin">
        <x:color rgb="FFA8B5A3"/>
      </x:top>
    </x:border>
    <x:border>
      <x:top style="thin">
        <x:color rgb="FFA8B5A3"/>
      </x:top>
    </x:border>
    <x:border>
      <x:right style="thin">
        <x:color rgb="FFA8B5A3"/>
      </x:right>
      <x:top style="thin">
        <x:color rgb="FFA8B5A3"/>
      </x:top>
    </x:border>
    <x:border>
      <x:left style="thin">
        <x:color rgb="FFA8B5A3"/>
      </x:left>
    </x:border>
    <x:border>
      <x:right style="thin">
        <x:color rgb="FFA8B5A3"/>
      </x:right>
    </x:border>
    <x:border>
      <x:left style="thin">
        <x:color rgb="FFA8B5A3"/>
      </x:left>
      <x:bottom style="thin">
        <x:color rgb="FFA8B5A3"/>
      </x:bottom>
    </x:border>
    <x:border>
      <x:bottom style="thin">
        <x:color rgb="FFA8B5A3"/>
      </x:bottom>
    </x:border>
    <x:border>
      <x:right style="thin">
        <x:color rgb="FFA8B5A3"/>
      </x:right>
      <x:bottom style="thin">
        <x:color rgb="FFA8B5A3"/>
      </x:bottom>
    </x:border>
    <x:border>
      <x:left style="thin">
        <x:color rgb="FFD7DED2"/>
      </x:left>
      <x:right style="thin">
        <x:color rgb="FFD7DED2"/>
      </x:right>
      <x:top style="thin">
        <x:color rgb="FFD7DED2"/>
      </x:top>
      <x:bottom style="thin">
        <x:color rgb="FFD7DED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3" borderId="9" xfId="0" applyNumberFormat="1" applyFont="1" applyFill="1" applyBorder="1"/>
    <x:xf numFmtId="0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color rgb="FF713F12"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6b425befc4152" /><Relationship Type="http://schemas.openxmlformats.org/officeDocument/2006/relationships/theme" Target="/xl/theme/theme1.xml" Id="Rc3bf3558268640ae" /><Relationship Type="http://schemas.openxmlformats.org/officeDocument/2006/relationships/sharedStrings" Target="/xl/sharedStrings.xml" Id="R6ed8fca5897d4838" /><Relationship Type="http://schemas.openxmlformats.org/officeDocument/2006/relationships/worksheet" Target="/xl/worksheets/sheet1.xml" Id="R9f63138f650146bf" /><Relationship Type="http://schemas.openxmlformats.org/officeDocument/2006/relationships/worksheet" Target="/xl/worksheets/sheet2.xml" Id="Rdf159b9b6fa141c2" /><Relationship Type="http://schemas.openxmlformats.org/officeDocument/2006/relationships/worksheet" Target="/xl/worksheets/sheet3.xml" Id="R770560e985794992" /><Relationship Type="http://schemas.openxmlformats.org/officeDocument/2006/relationships/worksheet" Target="/xl/worksheets/sheet4.xml" Id="Rf4ebfcea515d404a" /><Relationship Type="http://schemas.openxmlformats.org/officeDocument/2006/relationships/worksheet" Target="/xl/worksheets/sheet5.xml" Id="Rbedc528977ab4390" /><Relationship Type="http://schemas.openxmlformats.org/officeDocument/2006/relationships/worksheet" Target="/xl/worksheets/sheet6.xml" Id="Re8663764df3d4c9e" /><Relationship Type="http://schemas.openxmlformats.org/officeDocument/2006/relationships/worksheet" Target="/xl/worksheets/sheet7.xml" Id="Rcf1caac3b0f146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4d3410b1fc4125" /><Relationship Type="http://schemas.openxmlformats.org/officeDocument/2006/relationships/chart" Target="/xl/drawings/charts/chart2.xml" Id="Rf48c7ccc92154c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Arus Keluar vs Pengeluaran Hidup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Arus Keluar Bank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'Dashboard'!$M$5:$M$8</c:f>
              <c:strCache>
                <c:ptCount val="0"/>
              </c:strCache>
            </c:strRef>
          </c:cat>
          <c:val>
            <c:numRef>
              <c:f>'Dashboard'!$N$5:$N$8</c:f>
              <c:numCache>
                <c:formatCode>"Rp"#,##0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Pengeluaran Hidup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'Dashboard'!$M$5:$M$8</c:f>
              <c:strCache>
                <c:ptCount val="0"/>
              </c:strCache>
            </c:strRef>
          </c:cat>
          <c:val>
            <c:numRef>
              <c:f>'Dashboard'!$O$5:$O$8</c:f>
              <c:numCache>
                <c:formatCode>"Rp"#,##0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p&quot;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Pengeluaran Hidup per Kategori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Pengeluaran Hidup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'Dashboard'!$Q$5:$Q$12</c:f>
              <c:strCache>
                <c:ptCount val="0"/>
              </c:strCache>
            </c:strRef>
          </c:cat>
          <c:val>
            <c:numRef>
              <c:f>'Dashboard'!$R$5:$R$12</c:f>
              <c:numCache>
                <c:formatCode>"Rp"#,##0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p&quot;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4d3410b1fc4125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8c7ccc92154c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ksiLivin" displayName="TransaksiLivin" ref="A4:Q185" headerRowCount="1">
  <x:tableColumns count="17">
    <x:tableColumn id="1" name="Tanggal"/>
    <x:tableColumn id="2" name="Jam"/>
    <x:tableColumn id="3" name="Bulan"/>
    <x:tableColumn id="4" name="Subjek"/>
    <x:tableColumn id="5" name="Merchant/Penerima"/>
    <x:tableColumn id="6" name="Kategori"/>
    <x:tableColumn id="7" name="Subkategori"/>
    <x:tableColumn id="8" name="Nominal"/>
    <x:tableColumn id="9" name="Biaya"/>
    <x:tableColumn id="10" name="Total"/>
    <x:tableColumn id="11" name="Status"/>
    <x:tableColumn id="12" name="Arus Keluar Bank"/>
    <x:tableColumn id="13" name="Masuk Pengeluaran Hidup"/>
    <x:tableColumn id="14" name="Flag Risiko"/>
    <x:tableColumn id="15" name="Catatan"/>
    <x:tableColumn id="16" name="Email ID"/>
    <x:tableColumn id="17" name="Link Gm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e1f398669e42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7220d5e8e8b48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5.779998779296875" hidden="0" customWidth="1"/>
    <x:col min="3" max="3" width="45.779998779296875" hidden="0" customWidth="1"/>
    <x:col min="4" max="4" width="26" hidden="0" customWidth="1"/>
    <x:col min="5" max="5" width="30" hidden="0" customWidth="1"/>
    <x:col min="6" max="6" width="24" hidden="0" customWidth="1"/>
    <x:col min="7" max="7" width="24" hidden="0" customWidth="1"/>
    <x:col min="8" max="8" width="45.779998779296875" hidden="0" customWidth="1"/>
    <x:col min="9" max="9" width="45.779998779296875" hidden="0" customWidth="1"/>
    <x:col min="10" max="10" width="45.779998779296875" hidden="0" customWidth="1"/>
    <x:col min="11" max="11" width="27.559999465942383" hidden="0" customWidth="1"/>
    <x:col min="12" max="12" width="27.559999465942383" hidden="0" customWidth="1"/>
    <x:col min="13" max="13" width="27.559999465942383" hidden="0" customWidth="1"/>
    <x:col min="14" max="14" width="24" hidden="0" customWidth="1"/>
    <x:col min="15" max="15" width="24" hidden="0" customWidth="1"/>
    <x:col min="16" max="16" width="27.559999465942383" hidden="0" customWidth="1"/>
    <x:col min="17" max="17" width="42" hidden="0" customWidth="1"/>
  </x:cols>
  <x:sheetData>
    <x:row r="1" ht="25.5" customHeight="1">
      <x:c r="A1" s="2" t="str">
        <x:v>Transaksi Livin Mandiri</x:v>
      </x:c>
      <x:c r="B1" s="2" t="str">
        <x:v>Transaksi Livin Mandiri</x:v>
      </x:c>
      <x:c r="C1" s="2" t="str">
        <x:v>Transaksi Livin Mandiri</x:v>
      </x:c>
      <x:c r="D1" s="2" t="str">
        <x:v>Transaksi Livin Mandiri</x:v>
      </x:c>
      <x:c r="E1" s="2" t="str">
        <x:v>Transaksi Livin Mandiri</x:v>
      </x:c>
      <x:c r="F1" s="2" t="str">
        <x:v>Transaksi Livin Mandiri</x:v>
      </x:c>
      <x:c r="G1" s="2" t="str">
        <x:v>Transaksi Livin Mandiri</x:v>
      </x:c>
      <x:c r="H1" s="2" t="str">
        <x:v>Transaksi Livin Mandiri</x:v>
      </x:c>
      <x:c r="I1" s="2" t="str">
        <x:v>Transaksi Livin Mandiri</x:v>
      </x:c>
      <x:c r="J1" s="2" t="str">
        <x:v>Transaksi Livin Mandiri</x:v>
      </x:c>
      <x:c r="K1" s="2" t="str">
        <x:v>Transaksi Livin Mandiri</x:v>
      </x:c>
      <x:c r="L1" s="2" t="str">
        <x:v>Transaksi Livin Mandiri</x:v>
      </x:c>
      <x:c r="M1" s="2" t="str">
        <x:v>Transaksi Livin Mandiri</x:v>
      </x:c>
      <x:c r="N1" s="2" t="str">
        <x:v>Transaksi Livin Mandiri</x:v>
      </x:c>
      <x:c r="O1" s="2" t="str">
        <x:v>Transaksi Livin Mandiri</x:v>
      </x:c>
      <x:c r="P1" s="2" t="str">
        <x:v>Transaksi Livin Mandiri</x:v>
      </x:c>
      <x:c r="Q1" s="2" t="str">
        <x:v>Transaksi Livin Mandiri</x:v>
      </x:c>
    </x:row>
    <x:row r="2">
      <x:c r="A2" s="3" t="str">
        <x:v>Sumber: Gmail Livin Mandiri, Maret 2026 sampai 25 Juni 2026</x:v>
      </x:c>
      <x:c r="B2" s="3" t="str">
        <x:v>Sumber: Gmail Livin Mandiri, Maret 2026 sampai 25 Juni 2026</x:v>
      </x:c>
      <x:c r="C2" s="3" t="str">
        <x:v>Sumber: Gmail Livin Mandiri, Maret 2026 sampai 25 Juni 2026</x:v>
      </x:c>
      <x:c r="D2" s="3" t="str">
        <x:v>Sumber: Gmail Livin Mandiri, Maret 2026 sampai 25 Juni 2026</x:v>
      </x:c>
      <x:c r="E2" s="3" t="str">
        <x:v>Sumber: Gmail Livin Mandiri, Maret 2026 sampai 25 Juni 2026</x:v>
      </x:c>
      <x:c r="F2" s="3" t="str">
        <x:v>Sumber: Gmail Livin Mandiri, Maret 2026 sampai 25 Juni 2026</x:v>
      </x:c>
      <x:c r="G2" s="3" t="str">
        <x:v>Sumber: Gmail Livin Mandiri, Maret 2026 sampai 25 Juni 2026</x:v>
      </x:c>
      <x:c r="H2" s="3" t="str">
        <x:v>Sumber: Gmail Livin Mandiri, Maret 2026 sampai 25 Juni 2026</x:v>
      </x:c>
      <x:c r="I2" s="3" t="str">
        <x:v>Sumber: Gmail Livin Mandiri, Maret 2026 sampai 25 Juni 2026</x:v>
      </x:c>
      <x:c r="J2" s="3" t="str">
        <x:v>Sumber: Gmail Livin Mandiri, Maret 2026 sampai 25 Juni 2026</x:v>
      </x:c>
    </x:row>
    <x:row r="4">
      <x:c r="A4" s="8" t="str">
        <x:v>Tanggal</x:v>
      </x:c>
      <x:c r="B4" s="9" t="str">
        <x:v>Jam</x:v>
      </x:c>
      <x:c r="C4" s="9" t="str">
        <x:v>Bulan</x:v>
      </x:c>
      <x:c r="D4" s="9" t="str">
        <x:v>Subjek</x:v>
      </x:c>
      <x:c r="E4" s="9" t="str">
        <x:v>Merchant/Penerima</x:v>
      </x:c>
      <x:c r="F4" s="9" t="str">
        <x:v>Kategori</x:v>
      </x:c>
      <x:c r="G4" s="9" t="str">
        <x:v>Subkategori</x:v>
      </x:c>
      <x:c r="H4" s="9" t="str">
        <x:v>Nominal</x:v>
      </x:c>
      <x:c r="I4" s="9" t="str">
        <x:v>Biaya</x:v>
      </x:c>
      <x:c r="J4" s="9" t="str">
        <x:v>Total</x:v>
      </x:c>
      <x:c r="K4" s="9" t="str">
        <x:v>Status</x:v>
      </x:c>
      <x:c r="L4" s="9" t="str">
        <x:v>Arus Keluar Bank</x:v>
      </x:c>
      <x:c r="M4" s="9" t="str">
        <x:v>Masuk Pengeluaran Hidup</x:v>
      </x:c>
      <x:c r="N4" s="9" t="str">
        <x:v>Flag Risiko</x:v>
      </x:c>
      <x:c r="O4" s="9" t="str">
        <x:v>Catatan</x:v>
      </x:c>
      <x:c r="P4" s="9" t="str">
        <x:v>Email ID</x:v>
      </x:c>
      <x:c r="Q4" s="10" t="str">
        <x:v>Link Gmail</x:v>
      </x:c>
    </x:row>
    <x:row r="5">
      <x:c r="A5" s="11" t="n">
        <x:v>46083</x:v>
      </x:c>
      <x:c r="B5" s="12" t="str">
        <x:v>16:33:34</x:v>
      </x:c>
      <x:c r="C5" s="12" t="str">
        <x:v>Mar 2026</x:v>
      </x:c>
      <x:c r="D5" s="12" t="str">
        <x:v>Pembayaran Berhasil!</x:v>
      </x:c>
      <x:c r="E5" s="12" t="str">
        <x:v>PT Tokopedia Jakarta Selatan</x:v>
      </x:c>
      <x:c r="F5" s="12" t="str">
        <x:v>Belanja Harian/Retail</x:v>
      </x:c>
      <x:c r="G5" s="12" t="str">
        <x:v>Belanja online</x:v>
      </x:c>
      <x:c r="H5" s="7" t="n">
        <x:v>189084</x:v>
      </x:c>
      <x:c r="I5" s="7" t="n">
        <x:v>0</x:v>
      </x:c>
      <x:c r="J5" s="7" t="n">
        <x:v>189084</x:v>
      </x:c>
      <x:c r="K5" s="12" t="str">
        <x:v>Berhasil</x:v>
      </x:c>
      <x:c r="L5" s="12" t="str">
        <x:v>Ya</x:v>
      </x:c>
      <x:c r="M5" s="12" t="str">
        <x:v>Ya</x:v>
      </x:c>
      <x:c r="N5" s="12" t="str">
        <x:v>Normal</x:v>
      </x:c>
      <x:c r="O5" s="12" t="str">
        <x:v>QRIS</x:v>
      </x:c>
      <x:c r="P5" s="12" t="str">
        <x:v>19cade58fd2a4a89</x:v>
      </x:c>
      <x:c r="Q5" s="13" t="str">
        <x:v>https://mail.google.com/mail/#all/19cade58fd2a4a89</x:v>
      </x:c>
    </x:row>
    <x:row r="6">
      <x:c r="A6" s="11" t="n">
        <x:v>46083</x:v>
      </x:c>
      <x:c r="B6" s="12" t="str">
        <x:v>16:35:23</x:v>
      </x:c>
      <x:c r="C6" s="12" t="str">
        <x:v>Mar 2026</x:v>
      </x:c>
      <x:c r="D6" s="12" t="str">
        <x:v>Top-up Berhasil</x:v>
      </x:c>
      <x:c r="E6" s="12" t="str">
        <x:v>GoPay Customer ****9604</x:v>
      </x:c>
      <x:c r="F6" s="12" t="str">
        <x:v>Dompet Digital &amp; Aggregator</x:v>
      </x:c>
      <x:c r="G6" s="12" t="str">
        <x:v>Top-up GoPay</x:v>
      </x:c>
      <x:c r="H6" s="7" t="n">
        <x:v>2000000</x:v>
      </x:c>
      <x:c r="I6" s="7" t="n">
        <x:v>1000</x:v>
      </x:c>
      <x:c r="J6" s="7" t="n">
        <x:v>2001000</x:v>
      </x:c>
      <x:c r="K6" s="12" t="str">
        <x:v>Berhasil</x:v>
      </x:c>
      <x:c r="L6" s="12" t="str">
        <x:v>Ya</x:v>
      </x:c>
      <x:c r="M6" s="12" t="str">
        <x:v>Ya</x:v>
      </x:c>
      <x:c r="N6" s="12" t="str">
        <x:v>High review</x:v>
      </x:c>
      <x:c r="O6" s="12" t="str">
        <x:v>Top-up</x:v>
      </x:c>
      <x:c r="P6" s="12" t="str">
        <x:v>19cade7230f805a4</x:v>
      </x:c>
      <x:c r="Q6" s="13" t="str">
        <x:v>https://mail.google.com/mail/#all/19cade7230f805a4</x:v>
      </x:c>
    </x:row>
    <x:row r="7">
      <x:c r="A7" s="11" t="n">
        <x:v>46083</x:v>
      </x:c>
      <x:c r="B7" s="12" t="str">
        <x:v>16:39:13</x:v>
      </x:c>
      <x:c r="C7" s="12" t="str">
        <x:v>Mar 2026</x:v>
      </x:c>
      <x:c r="D7" s="12" t="str">
        <x:v>Transfer dengan BI Fast Berhasil</x:v>
      </x:c>
      <x:c r="E7" s="12" t="str">
        <x:v>JOICE MELATI H - Bank Negara Indonesia</x:v>
      </x:c>
      <x:c r="F7" s="12" t="str">
        <x:v>Transfer ke Orang</x:v>
      </x:c>
      <x:c r="G7" s="12" t="str">
        <x:v>Transfer orang</x:v>
      </x:c>
      <x:c r="H7" s="7" t="n">
        <x:v>232000</x:v>
      </x:c>
      <x:c r="I7" s="7" t="n">
        <x:v>2500</x:v>
      </x:c>
      <x:c r="J7" s="7" t="n">
        <x:v>234500</x:v>
      </x:c>
      <x:c r="K7" s="12" t="str">
        <x:v>Berhasil</x:v>
      </x:c>
      <x:c r="L7" s="12" t="str">
        <x:v>Ya</x:v>
      </x:c>
      <x:c r="M7" s="12" t="str">
        <x:v>Ya</x:v>
      </x:c>
      <x:c r="N7" s="12" t="str">
        <x:v>Normal</x:v>
      </x:c>
      <x:c r="O7" s="12" t="str">
        <x:v>Tujuan transaksi: pembelian</x:v>
      </x:c>
      <x:c r="P7" s="12" t="str">
        <x:v>19cadeaae603008e</x:v>
      </x:c>
      <x:c r="Q7" s="13" t="str">
        <x:v>https://mail.google.com/mail/#all/19cadeaae603008e</x:v>
      </x:c>
    </x:row>
    <x:row r="8">
      <x:c r="A8" s="11" t="n">
        <x:v>46083</x:v>
      </x:c>
      <x:c r="B8" s="12" t="str">
        <x:v>16:42:19</x:v>
      </x:c>
      <x:c r="C8" s="12" t="str">
        <x:v>Mar 2026</x:v>
      </x:c>
      <x:c r="D8" s="12" t="str">
        <x:v>Top-up Berhasil</x:v>
      </x:c>
      <x:c r="E8" s="12" t="str">
        <x:v>GoPay Customer ****9604</x:v>
      </x:c>
      <x:c r="F8" s="12" t="str">
        <x:v>Dompet Digital &amp; Aggregator</x:v>
      </x:c>
      <x:c r="G8" s="12" t="str">
        <x:v>Top-up GoPay</x:v>
      </x:c>
      <x:c r="H8" s="7" t="n">
        <x:v>700000</x:v>
      </x:c>
      <x:c r="I8" s="7" t="n">
        <x:v>1000</x:v>
      </x:c>
      <x:c r="J8" s="7" t="n">
        <x:v>701000</x:v>
      </x:c>
      <x:c r="K8" s="12" t="str">
        <x:v>Berhasil</x:v>
      </x:c>
      <x:c r="L8" s="12" t="str">
        <x:v>Ya</x:v>
      </x:c>
      <x:c r="M8" s="12" t="str">
        <x:v>Ya</x:v>
      </x:c>
      <x:c r="N8" s="12" t="str">
        <x:v>Perlu breakdown wallet</x:v>
      </x:c>
      <x:c r="O8" s="12" t="str">
        <x:v>Top-up</x:v>
      </x:c>
      <x:c r="P8" s="12" t="str">
        <x:v>19caded7b00f0499</x:v>
      </x:c>
      <x:c r="Q8" s="13" t="str">
        <x:v>https://mail.google.com/mail/#all/19caded7b00f0499</x:v>
      </x:c>
    </x:row>
    <x:row r="9">
      <x:c r="A9" s="11" t="n">
        <x:v>46083</x:v>
      </x:c>
      <x:c r="B9" s="12" t="str">
        <x:v>17:21:30</x:v>
      </x:c>
      <x:c r="C9" s="12" t="str">
        <x:v>Mar 2026</x:v>
      </x:c>
      <x:c r="D9" s="12" t="str">
        <x:v>Transfer dengan BI Fast Berhasil</x:v>
      </x:c>
      <x:c r="E9" s="12" t="str">
        <x:v>SAMUEL ZAKARIA H - Bank Central Asia</x:v>
      </x:c>
      <x:c r="F9" s="12" t="str">
        <x:v>Transfer Diri/Tabungan</x:v>
      </x:c>
      <x:c r="G9" s="12" t="str">
        <x:v>Rekening sendiri</x:v>
      </x:c>
      <x:c r="H9" s="7" t="n">
        <x:v>50000</x:v>
      </x:c>
      <x:c r="I9" s="7" t="n">
        <x:v>2500</x:v>
      </x:c>
      <x:c r="J9" s="7" t="n">
        <x:v>52500</x:v>
      </x:c>
      <x:c r="K9" s="12" t="str">
        <x:v>Berhasil</x:v>
      </x:c>
      <x:c r="L9" s="12" t="str">
        <x:v>Ya</x:v>
      </x:c>
      <x:c r="M9" s="12" t="str">
        <x:v>Tidak</x:v>
      </x:c>
      <x:c r="N9" s="12" t="str">
        <x:v>Bukan konsumsi; cek sebagai tabungan</x:v>
      </x:c>
      <x:c r="O9" s="12" t="str">
        <x:v>Transfer ke rekening sendiri</x:v>
      </x:c>
      <x:c r="P9" s="12" t="str">
        <x:v>19cae116a76fe060</x:v>
      </x:c>
      <x:c r="Q9" s="13" t="str">
        <x:v>https://mail.google.com/mail/#all/19cae116a76fe060</x:v>
      </x:c>
    </x:row>
    <x:row r="10">
      <x:c r="A10" s="11" t="n">
        <x:v>46084</x:v>
      </x:c>
      <x:c r="B10" s="12" t="str">
        <x:v>12:52:49</x:v>
      </x:c>
      <x:c r="C10" s="12" t="str">
        <x:v>Mar 2026</x:v>
      </x:c>
      <x:c r="D10" s="12" t="str">
        <x:v>Transfer Berhasil</x:v>
      </x:c>
      <x:c r="E10" s="12" t="str">
        <x:v>OLIB FELIX ANDIKA AR</x:v>
      </x:c>
      <x:c r="F10" s="12" t="str">
        <x:v>Transfer ke Orang</x:v>
      </x:c>
      <x:c r="G10" s="12" t="str">
        <x:v>Transfer orang</x:v>
      </x:c>
      <x:c r="H10" s="7" t="n">
        <x:v>30000</x:v>
      </x:c>
      <x:c r="I10" s="7" t="n">
        <x:v>0</x:v>
      </x:c>
      <x:c r="J10" s="7" t="n">
        <x:v>30000</x:v>
      </x:c>
      <x:c r="K10" s="12" t="str">
        <x:v>Berhasil</x:v>
      </x:c>
      <x:c r="L10" s="12" t="str">
        <x:v>Ya</x:v>
      </x:c>
      <x:c r="M10" s="12" t="str">
        <x:v>Ya</x:v>
      </x:c>
      <x:c r="N10" s="12" t="str">
        <x:v>Normal</x:v>
      </x:c>
      <x:c r="O10" s="12" t="str">
        <x:v>Transfer QR</x:v>
      </x:c>
      <x:c r="P10" s="12" t="str">
        <x:v>19cb24201c40af14</x:v>
      </x:c>
      <x:c r="Q10" s="13" t="str">
        <x:v>https://mail.google.com/mail/#all/19cb24201c40af14</x:v>
      </x:c>
    </x:row>
    <x:row r="11">
      <x:c r="A11" s="11" t="n">
        <x:v>46084</x:v>
      </x:c>
      <x:c r="B11" s="12" t="str">
        <x:v>18:35:55</x:v>
      </x:c>
      <x:c r="C11" s="12" t="str">
        <x:v>Mar 2026</x:v>
      </x:c>
      <x:c r="D11" s="12" t="str">
        <x:v>Pembayaran Berhasil!</x:v>
      </x:c>
      <x:c r="E11" s="12" t="str">
        <x:v>ALGO MEDAN - QRIS</x:v>
      </x:c>
      <x:c r="F11" s="12" t="str">
        <x:v>Belanja Harian/Retail</x:v>
      </x:c>
      <x:c r="G11" s="12" t="str">
        <x:v>Retail/minimarket</x:v>
      </x:c>
      <x:c r="H11" s="7" t="n">
        <x:v>26900</x:v>
      </x:c>
      <x:c r="I11" s="7" t="n">
        <x:v>0</x:v>
      </x:c>
      <x:c r="J11" s="7" t="n">
        <x:v>26900</x:v>
      </x:c>
      <x:c r="K11" s="12" t="str">
        <x:v>Berhasil</x:v>
      </x:c>
      <x:c r="L11" s="12" t="str">
        <x:v>Ya</x:v>
      </x:c>
      <x:c r="M11" s="12" t="str">
        <x:v>Ya</x:v>
      </x:c>
      <x:c r="N11" s="12" t="str">
        <x:v>Normal</x:v>
      </x:c>
      <x:c r="O11" s="12" t="str">
        <x:v>QRIS</x:v>
      </x:c>
      <x:c r="P11" s="12" t="str">
        <x:v>19cb37bd41e62cfe</x:v>
      </x:c>
      <x:c r="Q11" s="13" t="str">
        <x:v>https://mail.google.com/mail/#all/19cb37bd41e62cfe</x:v>
      </x:c>
    </x:row>
    <x:row r="12">
      <x:c r="A12" s="11" t="n">
        <x:v>46085</x:v>
      </x:c>
      <x:c r="B12" s="12" t="str">
        <x:v>11:20:03</x:v>
      </x:c>
      <x:c r="C12" s="12" t="str">
        <x:v>Mar 2026</x:v>
      </x:c>
      <x:c r="D12" s="12" t="str">
        <x:v>Transfer Berhasil</x:v>
      </x:c>
      <x:c r="E12" s="12" t="str">
        <x:v>JESSICA EVANGELI</x:v>
      </x:c>
      <x:c r="F12" s="12" t="str">
        <x:v>Transfer ke Orang</x:v>
      </x:c>
      <x:c r="G12" s="12" t="str">
        <x:v>Transfer orang</x:v>
      </x:c>
      <x:c r="H12" s="7" t="n">
        <x:v>40000</x:v>
      </x:c>
      <x:c r="I12" s="7" t="n">
        <x:v>0</x:v>
      </x:c>
      <x:c r="J12" s="7" t="n">
        <x:v>40000</x:v>
      </x:c>
      <x:c r="K12" s="12" t="str">
        <x:v>Berhasil</x:v>
      </x:c>
      <x:c r="L12" s="12" t="str">
        <x:v>Ya</x:v>
      </x:c>
      <x:c r="M12" s="12" t="str">
        <x:v>Ya</x:v>
      </x:c>
      <x:c r="N12" s="12" t="str">
        <x:v>Normal</x:v>
      </x:c>
      <x:c r="O12" s="12" t="str">
        <x:v>Transfer</x:v>
      </x:c>
      <x:c r="P12" s="12" t="str">
        <x:v>19cb713261868aaf</x:v>
      </x:c>
      <x:c r="Q12" s="13" t="str">
        <x:v>https://mail.google.com/mail/#all/19cb713261868aaf</x:v>
      </x:c>
    </x:row>
    <x:row r="13">
      <x:c r="A13" s="11" t="n">
        <x:v>46085</x:v>
      </x:c>
      <x:c r="B13" s="12" t="str">
        <x:v>14:48:47</x:v>
      </x:c>
      <x:c r="C13" s="12" t="str">
        <x:v>Mar 2026</x:v>
      </x:c>
      <x:c r="D13" s="12" t="str">
        <x:v>Transfer Berhasil</x:v>
      </x:c>
      <x:c r="E13" s="12" t="str">
        <x:v>JESSICA EVANGELI</x:v>
      </x:c>
      <x:c r="F13" s="12" t="str">
        <x:v>Transfer ke Orang</x:v>
      </x:c>
      <x:c r="G13" s="12" t="str">
        <x:v>Transfer orang</x:v>
      </x:c>
      <x:c r="H13" s="7" t="n">
        <x:v>16500</x:v>
      </x:c>
      <x:c r="I13" s="7" t="n">
        <x:v>0</x:v>
      </x:c>
      <x:c r="J13" s="7" t="n">
        <x:v>16500</x:v>
      </x:c>
      <x:c r="K13" s="12" t="str">
        <x:v>Berhasil</x:v>
      </x:c>
      <x:c r="L13" s="12" t="str">
        <x:v>Ya</x:v>
      </x:c>
      <x:c r="M13" s="12" t="str">
        <x:v>Ya</x:v>
      </x:c>
      <x:c r="N13" s="12" t="str">
        <x:v>Normal</x:v>
      </x:c>
      <x:c r="O13" s="12" t="str">
        <x:v>Transfer</x:v>
      </x:c>
      <x:c r="P13" s="12" t="str">
        <x:v>19cb7d2420a21aae</x:v>
      </x:c>
      <x:c r="Q13" s="13" t="str">
        <x:v>https://mail.google.com/mail/#all/19cb7d2420a21aae</x:v>
      </x:c>
    </x:row>
    <x:row r="14">
      <x:c r="A14" s="11" t="n">
        <x:v>46086</x:v>
      </x:c>
      <x:c r="B14" s="12" t="str">
        <x:v>07:52:26</x:v>
      </x:c>
      <x:c r="C14" s="12" t="str">
        <x:v>Mar 2026</x:v>
      </x:c>
      <x:c r="D14" s="12" t="str">
        <x:v>Pembayaran Berhasil!</x:v>
      </x:c>
      <x:c r="E14" s="12" t="str">
        <x:v>Warkop Bunda Aldo</x:v>
      </x:c>
      <x:c r="F14" s="12" t="str">
        <x:v>Makan &amp; Minum</x:v>
      </x:c>
      <x:c r="G14" s="12" t="str">
        <x:v>Makanan/minuman</x:v>
      </x:c>
      <x:c r="H14" s="7" t="n">
        <x:v>10000</x:v>
      </x:c>
      <x:c r="I14" s="7" t="n">
        <x:v>0</x:v>
      </x:c>
      <x:c r="J14" s="7" t="n">
        <x:v>10000</x:v>
      </x:c>
      <x:c r="K14" s="12" t="str">
        <x:v>Berhasil</x:v>
      </x:c>
      <x:c r="L14" s="12" t="str">
        <x:v>Ya</x:v>
      </x:c>
      <x:c r="M14" s="12" t="str">
        <x:v>Ya</x:v>
      </x:c>
      <x:c r="N14" s="12" t="str">
        <x:v>Normal</x:v>
      </x:c>
      <x:c r="O14" s="12" t="str">
        <x:v>QRIS</x:v>
      </x:c>
      <x:c r="P14" s="12" t="str">
        <x:v>19cbb7b99e58d392</x:v>
      </x:c>
      <x:c r="Q14" s="13" t="str">
        <x:v>https://mail.google.com/mail/#all/19cbb7b99e58d392</x:v>
      </x:c>
    </x:row>
    <x:row r="15">
      <x:c r="A15" s="11" t="n">
        <x:v>46086</x:v>
      </x:c>
      <x:c r="B15" s="12" t="str">
        <x:v>13:53:06</x:v>
      </x:c>
      <x:c r="C15" s="12" t="str">
        <x:v>Mar 2026</x:v>
      </x:c>
      <x:c r="D15" s="12" t="str">
        <x:v>Transfer dengan BI Fast Berhasil</x:v>
      </x:c>
      <x:c r="E15" s="12" t="str">
        <x:v>GRACE LORENTZ - Bank Central Asia</x:v>
      </x:c>
      <x:c r="F15" s="12" t="str">
        <x:v>Transfer ke Orang</x:v>
      </x:c>
      <x:c r="G15" s="12" t="str">
        <x:v>Transfer orang</x:v>
      </x:c>
      <x:c r="H15" s="7" t="n">
        <x:v>153000</x:v>
      </x:c>
      <x:c r="I15" s="7" t="n">
        <x:v>2500</x:v>
      </x:c>
      <x:c r="J15" s="7" t="n">
        <x:v>155500</x:v>
      </x:c>
      <x:c r="K15" s="12" t="str">
        <x:v>Berhasil</x:v>
      </x:c>
      <x:c r="L15" s="12" t="str">
        <x:v>Ya</x:v>
      </x:c>
      <x:c r="M15" s="12" t="str">
        <x:v>Ya</x:v>
      </x:c>
      <x:c r="N15" s="12" t="str">
        <x:v>Normal</x:v>
      </x:c>
      <x:c r="O15" s="12" t="str">
        <x:v>Transfer BI Fast</x:v>
      </x:c>
      <x:c r="P15" s="12" t="str">
        <x:v>19cbcc59f040a2db</x:v>
      </x:c>
      <x:c r="Q15" s="13" t="str">
        <x:v>https://mail.google.com/mail/#all/19cbcc59f040a2db</x:v>
      </x:c>
    </x:row>
    <x:row r="16">
      <x:c r="A16" s="11" t="n">
        <x:v>46086</x:v>
      </x:c>
      <x:c r="B16" s="12" t="str">
        <x:v>18:18:11</x:v>
      </x:c>
      <x:c r="C16" s="12" t="str">
        <x:v>Mar 2026</x:v>
      </x:c>
      <x:c r="D16" s="12" t="str">
        <x:v>Pembayaran Berhasil!</x:v>
      </x:c>
      <x:c r="E16" s="12" t="str">
        <x:v>SPBU 14.2021119,SUTOMO</x:v>
      </x:c>
      <x:c r="F16" s="12" t="str">
        <x:v>Transportasi &amp; BBM</x:v>
      </x:c>
      <x:c r="G16" s="12" t="str">
        <x:v>BBM</x:v>
      </x:c>
      <x:c r="H16" s="7" t="n">
        <x:v>38050</x:v>
      </x:c>
      <x:c r="I16" s="7" t="n">
        <x:v>0</x:v>
      </x:c>
      <x:c r="J16" s="7" t="n">
        <x:v>38050</x:v>
      </x:c>
      <x:c r="K16" s="12" t="str">
        <x:v>Berhasil</x:v>
      </x:c>
      <x:c r="L16" s="12" t="str">
        <x:v>Ya</x:v>
      </x:c>
      <x:c r="M16" s="12" t="str">
        <x:v>Ya</x:v>
      </x:c>
      <x:c r="N16" s="12" t="str">
        <x:v>Normal</x:v>
      </x:c>
      <x:c r="O16" s="12" t="str">
        <x:v>QRIS</x:v>
      </x:c>
      <x:c r="P16" s="12" t="str">
        <x:v>19cbdb84e92f59d1</x:v>
      </x:c>
      <x:c r="Q16" s="13" t="str">
        <x:v>https://mail.google.com/mail/#all/19cbdb84e92f59d1</x:v>
      </x:c>
    </x:row>
    <x:row r="17">
      <x:c r="A17" s="11" t="n">
        <x:v>46086</x:v>
      </x:c>
      <x:c r="B17" s="12" t="str">
        <x:v>18:42:58</x:v>
      </x:c>
      <x:c r="C17" s="12" t="str">
        <x:v>Mar 2026</x:v>
      </x:c>
      <x:c r="D17" s="12" t="str">
        <x:v>Pembayaran Berhasil!</x:v>
      </x:c>
      <x:c r="E17" s="12" t="str">
        <x:v>BUFFET AHMAD SALIM 3</x:v>
      </x:c>
      <x:c r="F17" s="12" t="str">
        <x:v>Makan &amp; Minum</x:v>
      </x:c>
      <x:c r="G17" s="12" t="str">
        <x:v>Makanan/minuman</x:v>
      </x:c>
      <x:c r="H17" s="7" t="n">
        <x:v>52000</x:v>
      </x:c>
      <x:c r="I17" s="7" t="n">
        <x:v>0</x:v>
      </x:c>
      <x:c r="J17" s="7" t="n">
        <x:v>52000</x:v>
      </x:c>
      <x:c r="K17" s="12" t="str">
        <x:v>Berhasil</x:v>
      </x:c>
      <x:c r="L17" s="12" t="str">
        <x:v>Ya</x:v>
      </x:c>
      <x:c r="M17" s="12" t="str">
        <x:v>Ya</x:v>
      </x:c>
      <x:c r="N17" s="12" t="str">
        <x:v>Normal</x:v>
      </x:c>
      <x:c r="O17" s="12" t="str">
        <x:v>QRIS</x:v>
      </x:c>
      <x:c r="P17" s="12" t="str">
        <x:v>19cbdcf1250b1dd5</x:v>
      </x:c>
      <x:c r="Q17" s="13" t="str">
        <x:v>https://mail.google.com/mail/#all/19cbdcf1250b1dd5</x:v>
      </x:c>
    </x:row>
    <x:row r="18">
      <x:c r="A18" s="11" t="n">
        <x:v>46086</x:v>
      </x:c>
      <x:c r="B18" s="12" t="str">
        <x:v>19:09:01</x:v>
      </x:c>
      <x:c r="C18" s="12" t="str">
        <x:v>Mar 2026</x:v>
      </x:c>
      <x:c r="D18" s="12" t="str">
        <x:v>Transfer Berhasil</x:v>
      </x:c>
      <x:c r="E18" s="12" t="str">
        <x:v>IGA ARWANA</x:v>
      </x:c>
      <x:c r="F18" s="12" t="str">
        <x:v>Transfer ke Orang</x:v>
      </x:c>
      <x:c r="G18" s="12" t="str">
        <x:v>Transfer orang</x:v>
      </x:c>
      <x:c r="H18" s="7" t="n">
        <x:v>29000</x:v>
      </x:c>
      <x:c r="I18" s="7" t="n">
        <x:v>0</x:v>
      </x:c>
      <x:c r="J18" s="7" t="n">
        <x:v>29000</x:v>
      </x:c>
      <x:c r="K18" s="12" t="str">
        <x:v>Berhasil</x:v>
      </x:c>
      <x:c r="L18" s="12" t="str">
        <x:v>Ya</x:v>
      </x:c>
      <x:c r="M18" s="12" t="str">
        <x:v>Ya</x:v>
      </x:c>
      <x:c r="N18" s="12" t="str">
        <x:v>Normal</x:v>
      </x:c>
      <x:c r="O18" s="12" t="str">
        <x:v>Transfer</x:v>
      </x:c>
      <x:c r="P18" s="12" t="str">
        <x:v>19cbde6ddc6973ba</x:v>
      </x:c>
      <x:c r="Q18" s="13" t="str">
        <x:v>https://mail.google.com/mail/#all/19cbde6ddc6973ba</x:v>
      </x:c>
    </x:row>
    <x:row r="19">
      <x:c r="A19" s="11" t="n">
        <x:v>46089</x:v>
      </x:c>
      <x:c r="B19" s="12" t="str">
        <x:v>12:02:48</x:v>
      </x:c>
      <x:c r="C19" s="12" t="str">
        <x:v>Mar 2026</x:v>
      </x:c>
      <x:c r="D19" s="12" t="str">
        <x:v>Transfer dengan BI Fast Berhasil</x:v>
      </x:c>
      <x:c r="E19" s="12" t="str">
        <x:v>ROHDEARNI BARUTU - Bank Rakyat Indonesia</x:v>
      </x:c>
      <x:c r="F19" s="12" t="str">
        <x:v>Transfer ke Orang</x:v>
      </x:c>
      <x:c r="G19" s="12" t="str">
        <x:v>Transfer orang</x:v>
      </x:c>
      <x:c r="H19" s="7" t="n">
        <x:v>200000</x:v>
      </x:c>
      <x:c r="I19" s="7" t="n">
        <x:v>2500</x:v>
      </x:c>
      <x:c r="J19" s="7" t="n">
        <x:v>202500</x:v>
      </x:c>
      <x:c r="K19" s="12" t="str">
        <x:v>Berhasil</x:v>
      </x:c>
      <x:c r="L19" s="12" t="str">
        <x:v>Ya</x:v>
      </x:c>
      <x:c r="M19" s="12" t="str">
        <x:v>Ya</x:v>
      </x:c>
      <x:c r="N19" s="12" t="str">
        <x:v>Normal</x:v>
      </x:c>
      <x:c r="O19" s="12" t="str">
        <x:v>Transfer BI Fast</x:v>
      </x:c>
      <x:c r="P19" s="12" t="str">
        <x:v>19ccbd3bb8100b47</x:v>
      </x:c>
      <x:c r="Q19" s="13" t="str">
        <x:v>https://mail.google.com/mail/#all/19ccbd3bb8100b47</x:v>
      </x:c>
    </x:row>
    <x:row r="20">
      <x:c r="A20" s="11" t="n">
        <x:v>46089</x:v>
      </x:c>
      <x:c r="B20" s="12" t="str">
        <x:v>20:23:15</x:v>
      </x:c>
      <x:c r="C20" s="12" t="str">
        <x:v>Mar 2026</x:v>
      </x:c>
      <x:c r="D20" s="12" t="str">
        <x:v>Pembayaran Berhasil!</x:v>
      </x:c>
      <x:c r="E20" s="12" t="str">
        <x:v>ALGO MEDAN - QRIS</x:v>
      </x:c>
      <x:c r="F20" s="12" t="str">
        <x:v>Belanja Harian/Retail</x:v>
      </x:c>
      <x:c r="G20" s="12" t="str">
        <x:v>Retail/minimarket</x:v>
      </x:c>
      <x:c r="H20" s="7" t="n">
        <x:v>33800</x:v>
      </x:c>
      <x:c r="I20" s="7" t="n">
        <x:v>0</x:v>
      </x:c>
      <x:c r="J20" s="7" t="n">
        <x:v>33800</x:v>
      </x:c>
      <x:c r="K20" s="12" t="str">
        <x:v>Berhasil</x:v>
      </x:c>
      <x:c r="L20" s="12" t="str">
        <x:v>Ya</x:v>
      </x:c>
      <x:c r="M20" s="12" t="str">
        <x:v>Ya</x:v>
      </x:c>
      <x:c r="N20" s="12" t="str">
        <x:v>Normal</x:v>
      </x:c>
      <x:c r="O20" s="12" t="str">
        <x:v>QRIS</x:v>
      </x:c>
      <x:c r="P20" s="12" t="str">
        <x:v>19ccd9de169dc55a</x:v>
      </x:c>
      <x:c r="Q20" s="13" t="str">
        <x:v>https://mail.google.com/mail/#all/19ccd9de169dc55a</x:v>
      </x:c>
    </x:row>
    <x:row r="21">
      <x:c r="A21" s="11" t="n">
        <x:v>46090</x:v>
      </x:c>
      <x:c r="B21" s="12" t="str">
        <x:v>07:53:02</x:v>
      </x:c>
      <x:c r="C21" s="12" t="str">
        <x:v>Mar 2026</x:v>
      </x:c>
      <x:c r="D21" s="12" t="str">
        <x:v>Pembayaran Berhasil!</x:v>
      </x:c>
      <x:c r="E21" s="12" t="str">
        <x:v>Toko Obat Uli Parna</x:v>
      </x:c>
      <x:c r="F21" s="12" t="str">
        <x:v>Kesehatan &amp; Obat</x:v>
      </x:c>
      <x:c r="G21" s="12" t="str">
        <x:v>Obat/apotek</x:v>
      </x:c>
      <x:c r="H21" s="7" t="n">
        <x:v>56000</x:v>
      </x:c>
      <x:c r="I21" s="7" t="n">
        <x:v>0</x:v>
      </x:c>
      <x:c r="J21" s="7" t="n">
        <x:v>56000</x:v>
      </x:c>
      <x:c r="K21" s="12" t="str">
        <x:v>Berhasil</x:v>
      </x:c>
      <x:c r="L21" s="12" t="str">
        <x:v>Ya</x:v>
      </x:c>
      <x:c r="M21" s="12" t="str">
        <x:v>Ya</x:v>
      </x:c>
      <x:c r="N21" s="12" t="str">
        <x:v>Normal</x:v>
      </x:c>
      <x:c r="O21" s="12" t="str">
        <x:v>QRIS</x:v>
      </x:c>
      <x:c r="P21" s="12" t="str">
        <x:v>19cd0157b72dabc1</x:v>
      </x:c>
      <x:c r="Q21" s="13" t="str">
        <x:v>https://mail.google.com/mail/#all/19cd0157b72dabc1</x:v>
      </x:c>
    </x:row>
    <x:row r="22">
      <x:c r="A22" s="11" t="n">
        <x:v>46091</x:v>
      </x:c>
      <x:c r="B22" s="12" t="str">
        <x:v>07:40:36</x:v>
      </x:c>
      <x:c r="C22" s="12" t="str">
        <x:v>Mar 2026</x:v>
      </x:c>
      <x:c r="D22" s="12" t="str">
        <x:v>Pembayaran Berhasil!</x:v>
      </x:c>
      <x:c r="E22" s="12" t="str">
        <x:v>Toko Obat Uli Parna</x:v>
      </x:c>
      <x:c r="F22" s="12" t="str">
        <x:v>Kesehatan &amp; Obat</x:v>
      </x:c>
      <x:c r="G22" s="12" t="str">
        <x:v>Obat/apotek</x:v>
      </x:c>
      <x:c r="H22" s="7" t="n">
        <x:v>13000</x:v>
      </x:c>
      <x:c r="I22" s="7" t="n">
        <x:v>0</x:v>
      </x:c>
      <x:c r="J22" s="7" t="n">
        <x:v>13000</x:v>
      </x:c>
      <x:c r="K22" s="12" t="str">
        <x:v>Berhasil</x:v>
      </x:c>
      <x:c r="L22" s="12" t="str">
        <x:v>Ya</x:v>
      </x:c>
      <x:c r="M22" s="12" t="str">
        <x:v>Ya</x:v>
      </x:c>
      <x:c r="N22" s="12" t="str">
        <x:v>Normal</x:v>
      </x:c>
      <x:c r="O22" s="12" t="str">
        <x:v>QRIS</x:v>
      </x:c>
      <x:c r="P22" s="12" t="str">
        <x:v>19cd5307e98f3d16</x:v>
      </x:c>
      <x:c r="Q22" s="13" t="str">
        <x:v>https://mail.google.com/mail/#all/19cd5307e98f3d16</x:v>
      </x:c>
    </x:row>
    <x:row r="23">
      <x:c r="A23" s="11" t="n">
        <x:v>46091</x:v>
      </x:c>
      <x:c r="B23" s="12" t="str">
        <x:v>08:02:31</x:v>
      </x:c>
      <x:c r="C23" s="12" t="str">
        <x:v>Mar 2026</x:v>
      </x:c>
      <x:c r="D23" s="12" t="str">
        <x:v>Pembayaran Berhasil!</x:v>
      </x:c>
      <x:c r="E23" s="12" t="str">
        <x:v>Nasi Kuning Komplek Warta</x:v>
      </x:c>
      <x:c r="F23" s="12" t="str">
        <x:v>Makan &amp; Minum</x:v>
      </x:c>
      <x:c r="G23" s="12" t="str">
        <x:v>Makanan/minuman</x:v>
      </x:c>
      <x:c r="H23" s="7" t="n">
        <x:v>16000</x:v>
      </x:c>
      <x:c r="I23" s="7" t="n">
        <x:v>0</x:v>
      </x:c>
      <x:c r="J23" s="7" t="n">
        <x:v>16000</x:v>
      </x:c>
      <x:c r="K23" s="12" t="str">
        <x:v>Berhasil</x:v>
      </x:c>
      <x:c r="L23" s="12" t="str">
        <x:v>Ya</x:v>
      </x:c>
      <x:c r="M23" s="12" t="str">
        <x:v>Ya</x:v>
      </x:c>
      <x:c r="N23" s="12" t="str">
        <x:v>Normal</x:v>
      </x:c>
      <x:c r="O23" s="12" t="str">
        <x:v>QRIS</x:v>
      </x:c>
      <x:c r="P23" s="12" t="str">
        <x:v>19cd54485f5511c5</x:v>
      </x:c>
      <x:c r="Q23" s="13" t="str">
        <x:v>https://mail.google.com/mail/#all/19cd54485f5511c5</x:v>
      </x:c>
    </x:row>
    <x:row r="24">
      <x:c r="A24" s="11" t="n">
        <x:v>46091</x:v>
      </x:c>
      <x:c r="B24" s="12" t="str">
        <x:v>08:21:15</x:v>
      </x:c>
      <x:c r="C24" s="12" t="str">
        <x:v>Mar 2026</x:v>
      </x:c>
      <x:c r="D24" s="12" t="str">
        <x:v>Pembayaran Berhasil!</x:v>
      </x:c>
      <x:c r="E24" s="12" t="str">
        <x:v>Yara Ponsel Qr</x:v>
      </x:c>
      <x:c r="F24" s="12" t="str">
        <x:v>Telekomunikasi</x:v>
      </x:c>
      <x:c r="G24" s="12" t="str">
        <x:v>Ponsel/aksesori</x:v>
      </x:c>
      <x:c r="H24" s="7" t="n">
        <x:v>12000</x:v>
      </x:c>
      <x:c r="I24" s="7" t="n">
        <x:v>0</x:v>
      </x:c>
      <x:c r="J24" s="7" t="n">
        <x:v>12000</x:v>
      </x:c>
      <x:c r="K24" s="12" t="str">
        <x:v>Berhasil</x:v>
      </x:c>
      <x:c r="L24" s="12" t="str">
        <x:v>Ya</x:v>
      </x:c>
      <x:c r="M24" s="12" t="str">
        <x:v>Ya</x:v>
      </x:c>
      <x:c r="N24" s="12" t="str">
        <x:v>Normal</x:v>
      </x:c>
      <x:c r="O24" s="12" t="str">
        <x:v>QRIS</x:v>
      </x:c>
      <x:c r="P24" s="12" t="str">
        <x:v>19cd555b24fd95db</x:v>
      </x:c>
      <x:c r="Q24" s="13" t="str">
        <x:v>https://mail.google.com/mail/#all/19cd555b24fd95db</x:v>
      </x:c>
    </x:row>
    <x:row r="25">
      <x:c r="A25" s="11" t="n">
        <x:v>46091</x:v>
      </x:c>
      <x:c r="B25" s="12" t="str">
        <x:v>20:20:14</x:v>
      </x:c>
      <x:c r="C25" s="12" t="str">
        <x:v>Mar 2026</x:v>
      </x:c>
      <x:c r="D25" s="12" t="str">
        <x:v>Pembayaran Berhasil!</x:v>
      </x:c>
      <x:c r="E25" s="12" t="str">
        <x:v>IDM QRIS LIVIN</x:v>
      </x:c>
      <x:c r="F25" s="12" t="str">
        <x:v>Belanja Harian/Retail</x:v>
      </x:c>
      <x:c r="G25" s="12" t="str">
        <x:v>Retail/minimarket</x:v>
      </x:c>
      <x:c r="H25" s="7" t="n">
        <x:v>8700</x:v>
      </x:c>
      <x:c r="I25" s="7" t="n">
        <x:v>0</x:v>
      </x:c>
      <x:c r="J25" s="7" t="n">
        <x:v>8700</x:v>
      </x:c>
      <x:c r="K25" s="12" t="str">
        <x:v>Berhasil</x:v>
      </x:c>
      <x:c r="L25" s="12" t="str">
        <x:v>Ya</x:v>
      </x:c>
      <x:c r="M25" s="12" t="str">
        <x:v>Ya</x:v>
      </x:c>
      <x:c r="N25" s="12" t="str">
        <x:v>Normal</x:v>
      </x:c>
      <x:c r="O25" s="12" t="str">
        <x:v>QRIS</x:v>
      </x:c>
      <x:c r="P25" s="12" t="str">
        <x:v>19cd7e7c31fe6372</x:v>
      </x:c>
      <x:c r="Q25" s="13" t="str">
        <x:v>https://mail.google.com/mail/#all/19cd7e7c31fe6372</x:v>
      </x:c>
    </x:row>
    <x:row r="26">
      <x:c r="A26" s="11" t="n">
        <x:v>46092</x:v>
      </x:c>
      <x:c r="B26" s="12" t="str">
        <x:v>18:42:40</x:v>
      </x:c>
      <x:c r="C26" s="12" t="str">
        <x:v>Mar 2026</x:v>
      </x:c>
      <x:c r="D26" s="12" t="str">
        <x:v>Transfer dengan BI Fast Berhasil</x:v>
      </x:c>
      <x:c r="E26" s="12" t="str">
        <x:v>SAMUEL ZAKARIA H - Bank Central Asia</x:v>
      </x:c>
      <x:c r="F26" s="12" t="str">
        <x:v>Transfer Diri/Tabungan</x:v>
      </x:c>
      <x:c r="G26" s="12" t="str">
        <x:v>Rekening sendiri</x:v>
      </x:c>
      <x:c r="H26" s="7" t="n">
        <x:v>80000</x:v>
      </x:c>
      <x:c r="I26" s="7" t="n">
        <x:v>2500</x:v>
      </x:c>
      <x:c r="J26" s="7" t="n">
        <x:v>82500</x:v>
      </x:c>
      <x:c r="K26" s="12" t="str">
        <x:v>Berhasil</x:v>
      </x:c>
      <x:c r="L26" s="12" t="str">
        <x:v>Ya</x:v>
      </x:c>
      <x:c r="M26" s="12" t="str">
        <x:v>Tidak</x:v>
      </x:c>
      <x:c r="N26" s="12" t="str">
        <x:v>Bukan konsumsi; cek sebagai tabungan</x:v>
      </x:c>
      <x:c r="O26" s="12" t="str">
        <x:v>Transfer ke rekening sendiri</x:v>
      </x:c>
      <x:c r="P26" s="12" t="str">
        <x:v>19cdcb4dab618e9a</x:v>
      </x:c>
      <x:c r="Q26" s="13" t="str">
        <x:v>https://mail.google.com/mail/#all/19cdcb4dab618e9a</x:v>
      </x:c>
    </x:row>
    <x:row r="27">
      <x:c r="A27" s="11" t="n">
        <x:v>46093</x:v>
      </x:c>
      <x:c r="B27" s="12" t="str">
        <x:v>07:28:10</x:v>
      </x:c>
      <x:c r="C27" s="12" t="str">
        <x:v>Mar 2026</x:v>
      </x:c>
      <x:c r="D27" s="12" t="str">
        <x:v>Pembayaran Berhasil!</x:v>
      </x:c>
      <x:c r="E27" s="12" t="str">
        <x:v>Toko Obat Uli Parna</x:v>
      </x:c>
      <x:c r="F27" s="12" t="str">
        <x:v>Kesehatan &amp; Obat</x:v>
      </x:c>
      <x:c r="G27" s="12" t="str">
        <x:v>Obat/apotek</x:v>
      </x:c>
      <x:c r="H27" s="7" t="n">
        <x:v>16000</x:v>
      </x:c>
      <x:c r="I27" s="7" t="n">
        <x:v>0</x:v>
      </x:c>
      <x:c r="J27" s="7" t="n">
        <x:v>16000</x:v>
      </x:c>
      <x:c r="K27" s="12" t="str">
        <x:v>Berhasil</x:v>
      </x:c>
      <x:c r="L27" s="12" t="str">
        <x:v>Ya</x:v>
      </x:c>
      <x:c r="M27" s="12" t="str">
        <x:v>Ya</x:v>
      </x:c>
      <x:c r="N27" s="12" t="str">
        <x:v>Normal</x:v>
      </x:c>
      <x:c r="O27" s="12" t="str">
        <x:v>QRIS</x:v>
      </x:c>
      <x:c r="P27" s="12" t="str">
        <x:v>19cdf71d6a81cae3</x:v>
      </x:c>
      <x:c r="Q27" s="13" t="str">
        <x:v>https://mail.google.com/mail/#all/19cdf71d6a81cae3</x:v>
      </x:c>
    </x:row>
    <x:row r="28">
      <x:c r="A28" s="11" t="n">
        <x:v>46093</x:v>
      </x:c>
      <x:c r="B28" s="12" t="str">
        <x:v>07:50:32</x:v>
      </x:c>
      <x:c r="C28" s="12" t="str">
        <x:v>Mar 2026</x:v>
      </x:c>
      <x:c r="D28" s="12" t="str">
        <x:v>Pembayaran Berhasil!</x:v>
      </x:c>
      <x:c r="E28" s="12" t="str">
        <x:v>Nasi Kuning Komplek Warta</x:v>
      </x:c>
      <x:c r="F28" s="12" t="str">
        <x:v>Makan &amp; Minum</x:v>
      </x:c>
      <x:c r="G28" s="12" t="str">
        <x:v>Makanan/minuman</x:v>
      </x:c>
      <x:c r="H28" s="7" t="n">
        <x:v>15000</x:v>
      </x:c>
      <x:c r="I28" s="7" t="n">
        <x:v>0</x:v>
      </x:c>
      <x:c r="J28" s="7" t="n">
        <x:v>15000</x:v>
      </x:c>
      <x:c r="K28" s="12" t="str">
        <x:v>Berhasil</x:v>
      </x:c>
      <x:c r="L28" s="12" t="str">
        <x:v>Ya</x:v>
      </x:c>
      <x:c r="M28" s="12" t="str">
        <x:v>Ya</x:v>
      </x:c>
      <x:c r="N28" s="12" t="str">
        <x:v>Normal</x:v>
      </x:c>
      <x:c r="O28" s="12" t="str">
        <x:v>QRIS</x:v>
      </x:c>
      <x:c r="P28" s="12" t="str">
        <x:v>19cdf86440df0b2b</x:v>
      </x:c>
      <x:c r="Q28" s="13" t="str">
        <x:v>https://mail.google.com/mail/#all/19cdf86440df0b2b</x:v>
      </x:c>
    </x:row>
    <x:row r="29">
      <x:c r="A29" s="11" t="n">
        <x:v>46093</x:v>
      </x:c>
      <x:c r="B29" s="12" t="str">
        <x:v>17:58:53</x:v>
      </x:c>
      <x:c r="C29" s="12" t="str">
        <x:v>Mar 2026</x:v>
      </x:c>
      <x:c r="D29" s="12" t="str">
        <x:v>Pembayaran Berhasil!</x:v>
      </x:c>
      <x:c r="E29" s="12" t="str">
        <x:v>BUFFET AHMAD SALIM 3</x:v>
      </x:c>
      <x:c r="F29" s="12" t="str">
        <x:v>Makan &amp; Minum</x:v>
      </x:c>
      <x:c r="G29" s="12" t="str">
        <x:v>Makanan/minuman</x:v>
      </x:c>
      <x:c r="H29" s="7" t="n">
        <x:v>27000</x:v>
      </x:c>
      <x:c r="I29" s="7" t="n">
        <x:v>0</x:v>
      </x:c>
      <x:c r="J29" s="7" t="n">
        <x:v>27000</x:v>
      </x:c>
      <x:c r="K29" s="12" t="str">
        <x:v>Berhasil</x:v>
      </x:c>
      <x:c r="L29" s="12" t="str">
        <x:v>Ya</x:v>
      </x:c>
      <x:c r="M29" s="12" t="str">
        <x:v>Ya</x:v>
      </x:c>
      <x:c r="N29" s="12" t="str">
        <x:v>Normal</x:v>
      </x:c>
      <x:c r="O29" s="12" t="str">
        <x:v>QRIS</x:v>
      </x:c>
      <x:c r="P29" s="12" t="str">
        <x:v>19ce1b332b8c6da9</x:v>
      </x:c>
      <x:c r="Q29" s="13" t="str">
        <x:v>https://mail.google.com/mail/#all/19ce1b332b8c6da9</x:v>
      </x:c>
    </x:row>
    <x:row r="30">
      <x:c r="A30" s="11" t="n">
        <x:v>46093</x:v>
      </x:c>
      <x:c r="B30" s="12" t="str">
        <x:v>21:01:58</x:v>
      </x:c>
      <x:c r="C30" s="12" t="str">
        <x:v>Mar 2026</x:v>
      </x:c>
      <x:c r="D30" s="12" t="str">
        <x:v>Pembayaran Tidak Berhasil</x:v>
      </x:c>
      <x:c r="E30" s="12" t="str">
        <x:v>Toko Obat Uli Parna</x:v>
      </x:c>
      <x:c r="F30" s="12" t="str">
        <x:v>Transaksi Gagal/Exclude</x:v>
      </x:c>
      <x:c r="G30" s="12" t="str">
        <x:v>Gagal</x:v>
      </x:c>
      <x:c r="H30" s="7" t="n">
        <x:v>3000</x:v>
      </x:c>
      <x:c r="I30" s="7" t="n">
        <x:v>0</x:v>
      </x:c>
      <x:c r="J30" s="7" t="n">
        <x:v>0</x:v>
      </x:c>
      <x:c r="K30" s="12" t="str">
        <x:v>Gagal</x:v>
      </x:c>
      <x:c r="L30" s="12" t="str">
        <x:v>Tidak</x:v>
      </x:c>
      <x:c r="M30" s="12" t="str">
        <x:v>Tidak</x:v>
      </x:c>
      <x:c r="N30" s="12" t="str">
        <x:v>Exclude</x:v>
      </x:c>
      <x:c r="O30" s="12" t="str">
        <x:v>Transaksi gagal, tidak dihitung</x:v>
      </x:c>
      <x:c r="P30" s="12" t="str">
        <x:v>19ce25ae5537aa4c</x:v>
      </x:c>
      <x:c r="Q30" s="13" t="str">
        <x:v>https://mail.google.com/mail/#all/19ce25ae5537aa4c</x:v>
      </x:c>
    </x:row>
    <x:row r="31">
      <x:c r="A31" s="11" t="n">
        <x:v>46093</x:v>
      </x:c>
      <x:c r="B31" s="12" t="str">
        <x:v>21:02:27</x:v>
      </x:c>
      <x:c r="C31" s="12" t="str">
        <x:v>Mar 2026</x:v>
      </x:c>
      <x:c r="D31" s="12" t="str">
        <x:v>Pembayaran Berhasil!</x:v>
      </x:c>
      <x:c r="E31" s="12" t="str">
        <x:v>Toko Obat Uli Parna</x:v>
      </x:c>
      <x:c r="F31" s="12" t="str">
        <x:v>Kesehatan &amp; Obat</x:v>
      </x:c>
      <x:c r="G31" s="12" t="str">
        <x:v>Obat/apotek</x:v>
      </x:c>
      <x:c r="H31" s="7" t="n">
        <x:v>6000</x:v>
      </x:c>
      <x:c r="I31" s="7" t="n">
        <x:v>0</x:v>
      </x:c>
      <x:c r="J31" s="7" t="n">
        <x:v>6000</x:v>
      </x:c>
      <x:c r="K31" s="12" t="str">
        <x:v>Berhasil</x:v>
      </x:c>
      <x:c r="L31" s="12" t="str">
        <x:v>Ya</x:v>
      </x:c>
      <x:c r="M31" s="12" t="str">
        <x:v>Ya</x:v>
      </x:c>
      <x:c r="N31" s="12" t="str">
        <x:v>Normal</x:v>
      </x:c>
      <x:c r="O31" s="12" t="str">
        <x:v>QRIS</x:v>
      </x:c>
      <x:c r="P31" s="12" t="str">
        <x:v>19ce25b74a2b9422</x:v>
      </x:c>
      <x:c r="Q31" s="13" t="str">
        <x:v>https://mail.google.com/mail/#all/19ce25b74a2b9422</x:v>
      </x:c>
    </x:row>
    <x:row r="32">
      <x:c r="A32" s="11" t="n">
        <x:v>46093</x:v>
      </x:c>
      <x:c r="B32" s="12" t="str">
        <x:v>21:03:39</x:v>
      </x:c>
      <x:c r="C32" s="12" t="str">
        <x:v>Mar 2026</x:v>
      </x:c>
      <x:c r="D32" s="12" t="str">
        <x:v>Pembayaran Berhasil!</x:v>
      </x:c>
      <x:c r="E32" s="12" t="str">
        <x:v>Burger Orio</x:v>
      </x:c>
      <x:c r="F32" s="12" t="str">
        <x:v>Makan &amp; Minum</x:v>
      </x:c>
      <x:c r="G32" s="12" t="str">
        <x:v>Makanan/minuman</x:v>
      </x:c>
      <x:c r="H32" s="7" t="n">
        <x:v>20000</x:v>
      </x:c>
      <x:c r="I32" s="7" t="n">
        <x:v>0</x:v>
      </x:c>
      <x:c r="J32" s="7" t="n">
        <x:v>20000</x:v>
      </x:c>
      <x:c r="K32" s="12" t="str">
        <x:v>Berhasil</x:v>
      </x:c>
      <x:c r="L32" s="12" t="str">
        <x:v>Ya</x:v>
      </x:c>
      <x:c r="M32" s="12" t="str">
        <x:v>Ya</x:v>
      </x:c>
      <x:c r="N32" s="12" t="str">
        <x:v>Normal</x:v>
      </x:c>
      <x:c r="O32" s="12" t="str">
        <x:v>QRIS</x:v>
      </x:c>
      <x:c r="P32" s="12" t="str">
        <x:v>19ce25ca5c022820</x:v>
      </x:c>
      <x:c r="Q32" s="13" t="str">
        <x:v>https://mail.google.com/mail/#all/19ce25ca5c022820</x:v>
      </x:c>
    </x:row>
    <x:row r="33">
      <x:c r="A33" s="11" t="n">
        <x:v>46094</x:v>
      </x:c>
      <x:c r="B33" s="12" t="str">
        <x:v>14:05:52</x:v>
      </x:c>
      <x:c r="C33" s="12" t="str">
        <x:v>Mar 2026</x:v>
      </x:c>
      <x:c r="D33" s="12" t="str">
        <x:v>Transfer Berhasil</x:v>
      </x:c>
      <x:c r="E33" s="12" t="str">
        <x:v>JESSICA EVANGELI</x:v>
      </x:c>
      <x:c r="F33" s="12" t="str">
        <x:v>Transfer ke Orang</x:v>
      </x:c>
      <x:c r="G33" s="12" t="str">
        <x:v>Transfer orang</x:v>
      </x:c>
      <x:c r="H33" s="7" t="n">
        <x:v>17000</x:v>
      </x:c>
      <x:c r="I33" s="7" t="n">
        <x:v>0</x:v>
      </x:c>
      <x:c r="J33" s="7" t="n">
        <x:v>17000</x:v>
      </x:c>
      <x:c r="K33" s="12" t="str">
        <x:v>Berhasil</x:v>
      </x:c>
      <x:c r="L33" s="12" t="str">
        <x:v>Ya</x:v>
      </x:c>
      <x:c r="M33" s="12" t="str">
        <x:v>Ya</x:v>
      </x:c>
      <x:c r="N33" s="12" t="str">
        <x:v>Normal</x:v>
      </x:c>
      <x:c r="O33" s="12" t="str">
        <x:v>Transfer</x:v>
      </x:c>
      <x:c r="P33" s="12" t="str">
        <x:v>19ce6044abbf5071</x:v>
      </x:c>
      <x:c r="Q33" s="13" t="str">
        <x:v>https://mail.google.com/mail/#all/19ce6044abbf5071</x:v>
      </x:c>
    </x:row>
    <x:row r="34">
      <x:c r="A34" s="11" t="n">
        <x:v>46094</x:v>
      </x:c>
      <x:c r="B34" s="12" t="str">
        <x:v>14:06:29</x:v>
      </x:c>
      <x:c r="C34" s="12" t="str">
        <x:v>Mar 2026</x:v>
      </x:c>
      <x:c r="D34" s="12" t="str">
        <x:v>Transfer Berhasil</x:v>
      </x:c>
      <x:c r="E34" s="12" t="str">
        <x:v>OLIB FELIX ANDIKA AR</x:v>
      </x:c>
      <x:c r="F34" s="12" t="str">
        <x:v>Transfer ke Orang</x:v>
      </x:c>
      <x:c r="G34" s="12" t="str">
        <x:v>Transfer orang</x:v>
      </x:c>
      <x:c r="H34" s="7" t="n">
        <x:v>56000</x:v>
      </x:c>
      <x:c r="I34" s="7" t="n">
        <x:v>0</x:v>
      </x:c>
      <x:c r="J34" s="7" t="n">
        <x:v>56000</x:v>
      </x:c>
      <x:c r="K34" s="12" t="str">
        <x:v>Berhasil</x:v>
      </x:c>
      <x:c r="L34" s="12" t="str">
        <x:v>Ya</x:v>
      </x:c>
      <x:c r="M34" s="12" t="str">
        <x:v>Ya</x:v>
      </x:c>
      <x:c r="N34" s="12" t="str">
        <x:v>Normal</x:v>
      </x:c>
      <x:c r="O34" s="12" t="str">
        <x:v>Transfer QR</x:v>
      </x:c>
      <x:c r="P34" s="12" t="str">
        <x:v>19ce609faa391730</x:v>
      </x:c>
      <x:c r="Q34" s="13" t="str">
        <x:v>https://mail.google.com/mail/#all/19ce609faa391730</x:v>
      </x:c>
    </x:row>
    <x:row r="35">
      <x:c r="A35" s="11" t="n">
        <x:v>46094</x:v>
      </x:c>
      <x:c r="B35" s="12" t="str">
        <x:v>14:07:33</x:v>
      </x:c>
      <x:c r="C35" s="12" t="str">
        <x:v>Mar 2026</x:v>
      </x:c>
      <x:c r="D35" s="12" t="str">
        <x:v>Transfer Berhasil</x:v>
      </x:c>
      <x:c r="E35" s="12" t="str">
        <x:v>OLIB FELIX ANDIKA AR</x:v>
      </x:c>
      <x:c r="F35" s="12" t="str">
        <x:v>Transfer ke Orang</x:v>
      </x:c>
      <x:c r="G35" s="12" t="str">
        <x:v>Transfer orang</x:v>
      </x:c>
      <x:c r="H35" s="7" t="n">
        <x:v>5000</x:v>
      </x:c>
      <x:c r="I35" s="7" t="n">
        <x:v>0</x:v>
      </x:c>
      <x:c r="J35" s="7" t="n">
        <x:v>5000</x:v>
      </x:c>
      <x:c r="K35" s="12" t="str">
        <x:v>Berhasil</x:v>
      </x:c>
      <x:c r="L35" s="12" t="str">
        <x:v>Ya</x:v>
      </x:c>
      <x:c r="M35" s="12" t="str">
        <x:v>Ya</x:v>
      </x:c>
      <x:c r="N35" s="12" t="str">
        <x:v>Normal</x:v>
      </x:c>
      <x:c r="O35" s="12" t="str">
        <x:v>Transfer QR</x:v>
      </x:c>
      <x:c r="P35" s="12" t="str">
        <x:v>19ce605d8a8f03f9</x:v>
      </x:c>
      <x:c r="Q35" s="13" t="str">
        <x:v>https://mail.google.com/mail/#all/19ce605d8a8f03f9</x:v>
      </x:c>
    </x:row>
    <x:row r="36">
      <x:c r="A36" s="11" t="n">
        <x:v>46095</x:v>
      </x:c>
      <x:c r="B36" s="12" t="str">
        <x:v>16:34:56</x:v>
      </x:c>
      <x:c r="C36" s="12" t="str">
        <x:v>Mar 2026</x:v>
      </x:c>
      <x:c r="D36" s="12" t="str">
        <x:v>Pembayaran Berhasil!</x:v>
      </x:c>
      <x:c r="E36" s="12" t="str">
        <x:v>NAZWA KUE - BRI</x:v>
      </x:c>
      <x:c r="F36" s="12" t="str">
        <x:v>Makan &amp; Minum</x:v>
      </x:c>
      <x:c r="G36" s="12" t="str">
        <x:v>Makanan/minuman</x:v>
      </x:c>
      <x:c r="H36" s="7" t="n">
        <x:v>225500</x:v>
      </x:c>
      <x:c r="I36" s="7" t="n">
        <x:v>0</x:v>
      </x:c>
      <x:c r="J36" s="7" t="n">
        <x:v>225500</x:v>
      </x:c>
      <x:c r="K36" s="12" t="str">
        <x:v>Berhasil</x:v>
      </x:c>
      <x:c r="L36" s="12" t="str">
        <x:v>Ya</x:v>
      </x:c>
      <x:c r="M36" s="12" t="str">
        <x:v>Ya</x:v>
      </x:c>
      <x:c r="N36" s="12" t="str">
        <x:v>Normal</x:v>
      </x:c>
      <x:c r="O36" s="12" t="str">
        <x:v>QRIS</x:v>
      </x:c>
      <x:c r="P36" s="12" t="str">
        <x:v>19cebb318cadffe9</x:v>
      </x:c>
      <x:c r="Q36" s="13" t="str">
        <x:v>https://mail.google.com/mail/#all/19cebb318cadffe9</x:v>
      </x:c>
    </x:row>
    <x:row r="37">
      <x:c r="A37" s="11" t="n">
        <x:v>46095</x:v>
      </x:c>
      <x:c r="B37" s="12" t="str">
        <x:v>16:35:38</x:v>
      </x:c>
      <x:c r="C37" s="12" t="str">
        <x:v>Mar 2026</x:v>
      </x:c>
      <x:c r="D37" s="12" t="str">
        <x:v>Pembayaran Berhasil!</x:v>
      </x:c>
      <x:c r="E37" s="12" t="str">
        <x:v>Nazwa Kue dan Catering</x:v>
      </x:c>
      <x:c r="F37" s="12" t="str">
        <x:v>Makan &amp; Minum</x:v>
      </x:c>
      <x:c r="G37" s="12" t="str">
        <x:v>Makanan/minuman</x:v>
      </x:c>
      <x:c r="H37" s="7" t="n">
        <x:v>55000</x:v>
      </x:c>
      <x:c r="I37" s="7" t="n">
        <x:v>0</x:v>
      </x:c>
      <x:c r="J37" s="7" t="n">
        <x:v>55000</x:v>
      </x:c>
      <x:c r="K37" s="12" t="str">
        <x:v>Berhasil</x:v>
      </x:c>
      <x:c r="L37" s="12" t="str">
        <x:v>Ya</x:v>
      </x:c>
      <x:c r="M37" s="12" t="str">
        <x:v>Ya</x:v>
      </x:c>
      <x:c r="N37" s="12" t="str">
        <x:v>Normal</x:v>
      </x:c>
      <x:c r="O37" s="12" t="str">
        <x:v>QRIS</x:v>
      </x:c>
      <x:c r="P37" s="12" t="str">
        <x:v>19cebb3bf68ddc16</x:v>
      </x:c>
      <x:c r="Q37" s="13" t="str">
        <x:v>https://mail.google.com/mail/#all/19cebb3bf68ddc16</x:v>
      </x:c>
    </x:row>
    <x:row r="38">
      <x:c r="A38" s="11" t="n">
        <x:v>46097</x:v>
      </x:c>
      <x:c r="B38" s="12" t="str">
        <x:v>17:33:31</x:v>
      </x:c>
      <x:c r="C38" s="12" t="str">
        <x:v>Mar 2026</x:v>
      </x:c>
      <x:c r="D38" s="12" t="str">
        <x:v>Transfer dengan BI Fast Berhasil</x:v>
      </x:c>
      <x:c r="E38" s="12" t="str">
        <x:v>KOK LI - Bank Danamon Indonesia</x:v>
      </x:c>
      <x:c r="F38" s="12" t="str">
        <x:v>Transfer ke Orang</x:v>
      </x:c>
      <x:c r="G38" s="12" t="str">
        <x:v>Transfer orang</x:v>
      </x:c>
      <x:c r="H38" s="7" t="n">
        <x:v>12000</x:v>
      </x:c>
      <x:c r="I38" s="7" t="n">
        <x:v>2500</x:v>
      </x:c>
      <x:c r="J38" s="7" t="n">
        <x:v>14500</x:v>
      </x:c>
      <x:c r="K38" s="12" t="str">
        <x:v>Berhasil</x:v>
      </x:c>
      <x:c r="L38" s="12" t="str">
        <x:v>Ya</x:v>
      </x:c>
      <x:c r="M38" s="12" t="str">
        <x:v>Ya</x:v>
      </x:c>
      <x:c r="N38" s="12" t="str">
        <x:v>Normal</x:v>
      </x:c>
      <x:c r="O38" s="12" t="str">
        <x:v>Transfer BI Fast</x:v>
      </x:c>
      <x:c r="P38" s="12" t="str">
        <x:v>19cf6355bd9eb797</x:v>
      </x:c>
      <x:c r="Q38" s="13" t="str">
        <x:v>https://mail.google.com/mail/#all/19cf6355bd9eb797</x:v>
      </x:c>
    </x:row>
    <x:row r="39">
      <x:c r="A39" s="11" t="n">
        <x:v>46097</x:v>
      </x:c>
      <x:c r="B39" s="12" t="str">
        <x:v>17:38:12</x:v>
      </x:c>
      <x:c r="C39" s="12" t="str">
        <x:v>Mar 2026</x:v>
      </x:c>
      <x:c r="D39" s="12" t="str">
        <x:v>Transfer dengan BI Fast Berhasil</x:v>
      </x:c>
      <x:c r="E39" s="12" t="str">
        <x:v>KOK LI - Bank Danamon Indonesia</x:v>
      </x:c>
      <x:c r="F39" s="12" t="str">
        <x:v>Transfer ke Orang</x:v>
      </x:c>
      <x:c r="G39" s="12" t="str">
        <x:v>Transfer orang</x:v>
      </x:c>
      <x:c r="H39" s="7" t="n">
        <x:v>10000</x:v>
      </x:c>
      <x:c r="I39" s="7" t="n">
        <x:v>2500</x:v>
      </x:c>
      <x:c r="J39" s="7" t="n">
        <x:v>12500</x:v>
      </x:c>
      <x:c r="K39" s="12" t="str">
        <x:v>Berhasil</x:v>
      </x:c>
      <x:c r="L39" s="12" t="str">
        <x:v>Ya</x:v>
      </x:c>
      <x:c r="M39" s="12" t="str">
        <x:v>Ya</x:v>
      </x:c>
      <x:c r="N39" s="12" t="str">
        <x:v>Normal</x:v>
      </x:c>
      <x:c r="O39" s="12" t="str">
        <x:v>Transfer BI Fast</x:v>
      </x:c>
      <x:c r="P39" s="12" t="str">
        <x:v>19cf639b12f2c468</x:v>
      </x:c>
      <x:c r="Q39" s="13" t="str">
        <x:v>https://mail.google.com/mail/#all/19cf639b12f2c468</x:v>
      </x:c>
    </x:row>
    <x:row r="40">
      <x:c r="A40" s="11" t="n">
        <x:v>46099</x:v>
      </x:c>
      <x:c r="B40" s="12" t="str">
        <x:v>19:55:20</x:v>
      </x:c>
      <x:c r="C40" s="12" t="str">
        <x:v>Mar 2026</x:v>
      </x:c>
      <x:c r="D40" s="12" t="str">
        <x:v>Pembayaran Berhasil!</x:v>
      </x:c>
      <x:c r="E40" s="12" t="str">
        <x:v>BUFFET AHMAD SALIM 3</x:v>
      </x:c>
      <x:c r="F40" s="12" t="str">
        <x:v>Makan &amp; Minum</x:v>
      </x:c>
      <x:c r="G40" s="12" t="str">
        <x:v>Makanan/minuman</x:v>
      </x:c>
      <x:c r="H40" s="7" t="n">
        <x:v>27000</x:v>
      </x:c>
      <x:c r="I40" s="7" t="n">
        <x:v>0</x:v>
      </x:c>
      <x:c r="J40" s="7" t="n">
        <x:v>27000</x:v>
      </x:c>
      <x:c r="K40" s="12" t="str">
        <x:v>Berhasil</x:v>
      </x:c>
      <x:c r="L40" s="12" t="str">
        <x:v>Ya</x:v>
      </x:c>
      <x:c r="M40" s="12" t="str">
        <x:v>Ya</x:v>
      </x:c>
      <x:c r="N40" s="12" t="str">
        <x:v>Normal</x:v>
      </x:c>
      <x:c r="O40" s="12" t="str">
        <x:v>QRIS</x:v>
      </x:c>
      <x:c r="P40" s="12" t="str">
        <x:v>19d010405a92b7fb</x:v>
      </x:c>
      <x:c r="Q40" s="13" t="str">
        <x:v>https://mail.google.com/mail/#all/19d010405a92b7fb</x:v>
      </x:c>
    </x:row>
    <x:row r="41">
      <x:c r="A41" s="11" t="n">
        <x:v>46101</x:v>
      </x:c>
      <x:c r="B41" s="12" t="str">
        <x:v>13:42:58</x:v>
      </x:c>
      <x:c r="C41" s="12" t="str">
        <x:v>Mar 2026</x:v>
      </x:c>
      <x:c r="D41" s="12" t="str">
        <x:v>Transfer Berhasil</x:v>
      </x:c>
      <x:c r="E41" s="12" t="str">
        <x:v>JULIA MENTARI</x:v>
      </x:c>
      <x:c r="F41" s="12" t="str">
        <x:v>Transfer ke Orang</x:v>
      </x:c>
      <x:c r="G41" s="12" t="str">
        <x:v>Transfer orang</x:v>
      </x:c>
      <x:c r="H41" s="7" t="n">
        <x:v>27000</x:v>
      </x:c>
      <x:c r="I41" s="7" t="n">
        <x:v>0</x:v>
      </x:c>
      <x:c r="J41" s="7" t="n">
        <x:v>27000</x:v>
      </x:c>
      <x:c r="K41" s="12" t="str">
        <x:v>Berhasil</x:v>
      </x:c>
      <x:c r="L41" s="12" t="str">
        <x:v>Ya</x:v>
      </x:c>
      <x:c r="M41" s="12" t="str">
        <x:v>Ya</x:v>
      </x:c>
      <x:c r="N41" s="12" t="str">
        <x:v>Normal</x:v>
      </x:c>
      <x:c r="O41" s="12" t="str">
        <x:v>Transfer QR</x:v>
      </x:c>
      <x:c r="P41" s="12" t="str">
        <x:v>19d09fbcc074a701</x:v>
      </x:c>
      <x:c r="Q41" s="13" t="str">
        <x:v>https://mail.google.com/mail/#all/19d09fbcc074a701</x:v>
      </x:c>
    </x:row>
    <x:row r="42">
      <x:c r="A42" s="11" t="n">
        <x:v>46102</x:v>
      </x:c>
      <x:c r="B42" s="12" t="str">
        <x:v>08:28:30</x:v>
      </x:c>
      <x:c r="C42" s="12" t="str">
        <x:v>Mar 2026</x:v>
      </x:c>
      <x:c r="D42" s="12" t="str">
        <x:v>Top-up Berhasil</x:v>
      </x:c>
      <x:c r="E42" s="12" t="str">
        <x:v>GoPay Customer ****9604</x:v>
      </x:c>
      <x:c r="F42" s="12" t="str">
        <x:v>Dompet Digital &amp; Aggregator</x:v>
      </x:c>
      <x:c r="G42" s="12" t="str">
        <x:v>Top-up GoPay</x:v>
      </x:c>
      <x:c r="H42" s="7" t="n">
        <x:v>50000</x:v>
      </x:c>
      <x:c r="I42" s="7" t="n">
        <x:v>1000</x:v>
      </x:c>
      <x:c r="J42" s="7" t="n">
        <x:v>51000</x:v>
      </x:c>
      <x:c r="K42" s="12" t="str">
        <x:v>Berhasil</x:v>
      </x:c>
      <x:c r="L42" s="12" t="str">
        <x:v>Ya</x:v>
      </x:c>
      <x:c r="M42" s="12" t="str">
        <x:v>Ya</x:v>
      </x:c>
      <x:c r="N42" s="12" t="str">
        <x:v>Perlu breakdown wallet</x:v>
      </x:c>
      <x:c r="O42" s="12" t="str">
        <x:v>Top-up</x:v>
      </x:c>
      <x:c r="P42" s="12" t="str">
        <x:v>19d0e0230f1dcbe7</x:v>
      </x:c>
      <x:c r="Q42" s="13" t="str">
        <x:v>https://mail.google.com/mail/#all/19d0e0230f1dcbe7</x:v>
      </x:c>
    </x:row>
    <x:row r="43">
      <x:c r="A43" s="11" t="n">
        <x:v>46102</x:v>
      </x:c>
      <x:c r="B43" s="12" t="str">
        <x:v>08:32:12</x:v>
      </x:c>
      <x:c r="C43" s="12" t="str">
        <x:v>Mar 2026</x:v>
      </x:c>
      <x:c r="D43" s="12" t="str">
        <x:v>Top-up Berhasil</x:v>
      </x:c>
      <x:c r="E43" s="12" t="str">
        <x:v>GoPay Customer ****9604</x:v>
      </x:c>
      <x:c r="F43" s="12" t="str">
        <x:v>Dompet Digital &amp; Aggregator</x:v>
      </x:c>
      <x:c r="G43" s="12" t="str">
        <x:v>Top-up GoPay</x:v>
      </x:c>
      <x:c r="H43" s="7" t="n">
        <x:v>40000</x:v>
      </x:c>
      <x:c r="I43" s="7" t="n">
        <x:v>1000</x:v>
      </x:c>
      <x:c r="J43" s="7" t="n">
        <x:v>41000</x:v>
      </x:c>
      <x:c r="K43" s="12" t="str">
        <x:v>Berhasil</x:v>
      </x:c>
      <x:c r="L43" s="12" t="str">
        <x:v>Ya</x:v>
      </x:c>
      <x:c r="M43" s="12" t="str">
        <x:v>Ya</x:v>
      </x:c>
      <x:c r="N43" s="12" t="str">
        <x:v>Perlu breakdown wallet</x:v>
      </x:c>
      <x:c r="O43" s="12" t="str">
        <x:v>Top-up</x:v>
      </x:c>
      <x:c r="P43" s="12" t="str">
        <x:v>19d0e0588c87d079</x:v>
      </x:c>
      <x:c r="Q43" s="13" t="str">
        <x:v>https://mail.google.com/mail/#all/19d0e0588c87d079</x:v>
      </x:c>
    </x:row>
    <x:row r="44">
      <x:c r="A44" s="11" t="n">
        <x:v>46103</x:v>
      </x:c>
      <x:c r="B44" s="12" t="str">
        <x:v>20:39:13</x:v>
      </x:c>
      <x:c r="C44" s="12" t="str">
        <x:v>Mar 2026</x:v>
      </x:c>
      <x:c r="D44" s="12" t="str">
        <x:v>Pembayaran Berhasil!</x:v>
      </x:c>
      <x:c r="E44" s="12" t="str">
        <x:v>MIE PANGSIT ASIN -HO</x:v>
      </x:c>
      <x:c r="F44" s="12" t="str">
        <x:v>Makan &amp; Minum</x:v>
      </x:c>
      <x:c r="G44" s="12" t="str">
        <x:v>Makanan/minuman</x:v>
      </x:c>
      <x:c r="H44" s="7" t="n">
        <x:v>67000</x:v>
      </x:c>
      <x:c r="I44" s="7" t="n">
        <x:v>0</x:v>
      </x:c>
      <x:c r="J44" s="7" t="n">
        <x:v>67000</x:v>
      </x:c>
      <x:c r="K44" s="12" t="str">
        <x:v>Berhasil</x:v>
      </x:c>
      <x:c r="L44" s="12" t="str">
        <x:v>Ya</x:v>
      </x:c>
      <x:c r="M44" s="12" t="str">
        <x:v>Ya</x:v>
      </x:c>
      <x:c r="N44" s="12" t="str">
        <x:v>Normal</x:v>
      </x:c>
      <x:c r="O44" s="12" t="str">
        <x:v>QRIS</x:v>
      </x:c>
      <x:c r="P44" s="12" t="str">
        <x:v>19d15c5961520e0d</x:v>
      </x:c>
      <x:c r="Q44" s="13" t="str">
        <x:v>https://mail.google.com/mail/#all/19d15c5961520e0d</x:v>
      </x:c>
    </x:row>
    <x:row r="45">
      <x:c r="A45" s="11" t="n">
        <x:v>46104</x:v>
      </x:c>
      <x:c r="B45" s="12" t="str">
        <x:v>11:50:47</x:v>
      </x:c>
      <x:c r="C45" s="12" t="str">
        <x:v>Mar 2026</x:v>
      </x:c>
      <x:c r="D45" s="12" t="str">
        <x:v>Top-up Berhasil</x:v>
      </x:c>
      <x:c r="E45" s="12" t="str">
        <x:v>GoPay Customer ****9604</x:v>
      </x:c>
      <x:c r="F45" s="12" t="str">
        <x:v>Dompet Digital &amp; Aggregator</x:v>
      </x:c>
      <x:c r="G45" s="12" t="str">
        <x:v>Top-up GoPay</x:v>
      </x:c>
      <x:c r="H45" s="7" t="n">
        <x:v>70000</x:v>
      </x:c>
      <x:c r="I45" s="7" t="n">
        <x:v>1000</x:v>
      </x:c>
      <x:c r="J45" s="7" t="n">
        <x:v>71000</x:v>
      </x:c>
      <x:c r="K45" s="12" t="str">
        <x:v>Berhasil</x:v>
      </x:c>
      <x:c r="L45" s="12" t="str">
        <x:v>Ya</x:v>
      </x:c>
      <x:c r="M45" s="12" t="str">
        <x:v>Ya</x:v>
      </x:c>
      <x:c r="N45" s="12" t="str">
        <x:v>Perlu breakdown wallet</x:v>
      </x:c>
      <x:c r="O45" s="12" t="str">
        <x:v>Top-up</x:v>
      </x:c>
      <x:c r="P45" s="12" t="str">
        <x:v>19d190806533dc4e</x:v>
      </x:c>
      <x:c r="Q45" s="13" t="str">
        <x:v>https://mail.google.com/mail/#all/19d190806533dc4e</x:v>
      </x:c>
    </x:row>
    <x:row r="46">
      <x:c r="A46" s="11" t="n">
        <x:v>46108</x:v>
      </x:c>
      <x:c r="B46" s="12" t="str">
        <x:v>09:55:01</x:v>
      </x:c>
      <x:c r="C46" s="12" t="str">
        <x:v>Mar 2026</x:v>
      </x:c>
      <x:c r="D46" s="12" t="str">
        <x:v>Transfer Berhasil</x:v>
      </x:c>
      <x:c r="E46" s="12" t="str">
        <x:v>TOTO PRAYETNO</x:v>
      </x:c>
      <x:c r="F46" s="12" t="str">
        <x:v>Transfer ke Orang</x:v>
      </x:c>
      <x:c r="G46" s="12" t="str">
        <x:v>Transfer orang</x:v>
      </x:c>
      <x:c r="H46" s="7" t="n">
        <x:v>135000</x:v>
      </x:c>
      <x:c r="I46" s="7" t="n">
        <x:v>0</x:v>
      </x:c>
      <x:c r="J46" s="7" t="n">
        <x:v>135000</x:v>
      </x:c>
      <x:c r="K46" s="12" t="str">
        <x:v>Berhasil</x:v>
      </x:c>
      <x:c r="L46" s="12" t="str">
        <x:v>Ya</x:v>
      </x:c>
      <x:c r="M46" s="12" t="str">
        <x:v>Ya</x:v>
      </x:c>
      <x:c r="N46" s="12" t="str">
        <x:v>Normal</x:v>
      </x:c>
      <x:c r="O46" s="12" t="str">
        <x:v>Transfer</x:v>
      </x:c>
      <x:c r="P46" s="12" t="str">
        <x:v>19d2d3798d703921</x:v>
      </x:c>
      <x:c r="Q46" s="13" t="str">
        <x:v>https://mail.google.com/mail/#all/19d2d3798d703921</x:v>
      </x:c>
    </x:row>
    <x:row r="47">
      <x:c r="A47" s="11" t="n">
        <x:v>46110</x:v>
      </x:c>
      <x:c r="B47" s="12" t="str">
        <x:v>09:18:59</x:v>
      </x:c>
      <x:c r="C47" s="12" t="str">
        <x:v>Mar 2026</x:v>
      </x:c>
      <x:c r="D47" s="12" t="str">
        <x:v>Pembayaran Berhasil!</x:v>
      </x:c>
      <x:c r="E47" s="12" t="str">
        <x:v>IDM QRIS LIVIN</x:v>
      </x:c>
      <x:c r="F47" s="12" t="str">
        <x:v>Belanja Harian/Retail</x:v>
      </x:c>
      <x:c r="G47" s="12" t="str">
        <x:v>Retail/minimarket</x:v>
      </x:c>
      <x:c r="H47" s="7" t="n">
        <x:v>22500</x:v>
      </x:c>
      <x:c r="I47" s="7" t="n">
        <x:v>0</x:v>
      </x:c>
      <x:c r="J47" s="7" t="n">
        <x:v>22500</x:v>
      </x:c>
      <x:c r="K47" s="12" t="str">
        <x:v>Berhasil</x:v>
      </x:c>
      <x:c r="L47" s="12" t="str">
        <x:v>Ya</x:v>
      </x:c>
      <x:c r="M47" s="12" t="str">
        <x:v>Ya</x:v>
      </x:c>
      <x:c r="N47" s="12" t="str">
        <x:v>Normal</x:v>
      </x:c>
      <x:c r="O47" s="12" t="str">
        <x:v>QRIS</x:v>
      </x:c>
      <x:c r="P47" s="12" t="str">
        <x:v>19d37634c277832b</x:v>
      </x:c>
      <x:c r="Q47" s="13" t="str">
        <x:v>https://mail.google.com/mail/#all/19d37634c277832b</x:v>
      </x:c>
    </x:row>
    <x:row r="48">
      <x:c r="A48" s="11" t="n">
        <x:v>46110</x:v>
      </x:c>
      <x:c r="B48" s="12" t="str">
        <x:v>19:01:29</x:v>
      </x:c>
      <x:c r="C48" s="12" t="str">
        <x:v>Mar 2026</x:v>
      </x:c>
      <x:c r="D48" s="12" t="str">
        <x:v>Pembayaran Berhasil!</x:v>
      </x:c>
      <x:c r="E48" s="12" t="str">
        <x:v>SPBU SINGAPORE STATION 5</x:v>
      </x:c>
      <x:c r="F48" s="12" t="str">
        <x:v>Transportasi &amp; BBM</x:v>
      </x:c>
      <x:c r="G48" s="12" t="str">
        <x:v>BBM</x:v>
      </x:c>
      <x:c r="H48" s="7" t="n">
        <x:v>30780</x:v>
      </x:c>
      <x:c r="I48" s="7" t="n">
        <x:v>0</x:v>
      </x:c>
      <x:c r="J48" s="7" t="n">
        <x:v>30780</x:v>
      </x:c>
      <x:c r="K48" s="12" t="str">
        <x:v>Berhasil</x:v>
      </x:c>
      <x:c r="L48" s="12" t="str">
        <x:v>Ya</x:v>
      </x:c>
      <x:c r="M48" s="12" t="str">
        <x:v>Ya</x:v>
      </x:c>
      <x:c r="N48" s="12" t="str">
        <x:v>Normal</x:v>
      </x:c>
      <x:c r="O48" s="12" t="str">
        <x:v>QRIS</x:v>
      </x:c>
      <x:c r="P48" s="12" t="str">
        <x:v>19d3978925589f63</x:v>
      </x:c>
      <x:c r="Q48" s="13" t="str">
        <x:v>https://mail.google.com/mail/#all/19d3978925589f63</x:v>
      </x:c>
    </x:row>
    <x:row r="49">
      <x:c r="A49" s="11" t="n">
        <x:v>46112</x:v>
      </x:c>
      <x:c r="B49" s="12" t="str">
        <x:v>13:05:57</x:v>
      </x:c>
      <x:c r="C49" s="12" t="str">
        <x:v>Mar 2026</x:v>
      </x:c>
      <x:c r="D49" s="12" t="str">
        <x:v>Transfer Berhasil</x:v>
      </x:c>
      <x:c r="E49" s="12" t="str">
        <x:v>MUHAMMAD RIDHO FEBRI</x:v>
      </x:c>
      <x:c r="F49" s="12" t="str">
        <x:v>Transfer ke Orang</x:v>
      </x:c>
      <x:c r="G49" s="12" t="str">
        <x:v>Transfer orang</x:v>
      </x:c>
      <x:c r="H49" s="7" t="n">
        <x:v>100000</x:v>
      </x:c>
      <x:c r="I49" s="7" t="n">
        <x:v>0</x:v>
      </x:c>
      <x:c r="J49" s="7" t="n">
        <x:v>100000</x:v>
      </x:c>
      <x:c r="K49" s="12" t="str">
        <x:v>Berhasil</x:v>
      </x:c>
      <x:c r="L49" s="12" t="str">
        <x:v>Ya</x:v>
      </x:c>
      <x:c r="M49" s="12" t="str">
        <x:v>Ya</x:v>
      </x:c>
      <x:c r="N49" s="12" t="str">
        <x:v>Normal</x:v>
      </x:c>
      <x:c r="O49" s="12" t="str">
        <x:v>Transfer QR</x:v>
      </x:c>
      <x:c r="P49" s="12" t="str">
        <x:v>19d427fc98b3e451</x:v>
      </x:c>
      <x:c r="Q49" s="13" t="str">
        <x:v>https://mail.google.com/mail/#all/19d427fc98b3e451</x:v>
      </x:c>
    </x:row>
    <x:row r="50">
      <x:c r="A50" s="11" t="n">
        <x:v>46112</x:v>
      </x:c>
      <x:c r="B50" s="12" t="str">
        <x:v>20:02:36</x:v>
      </x:c>
      <x:c r="C50" s="12" t="str">
        <x:v>Mar 2026</x:v>
      </x:c>
      <x:c r="D50" s="12" t="str">
        <x:v>Pembayaran Berhasil!</x:v>
      </x:c>
      <x:c r="E50" s="12" t="str">
        <x:v>Gopay Payment 60739081370309604</x:v>
      </x:c>
      <x:c r="F50" s="12" t="str">
        <x:v>Dompet Digital &amp; Aggregator</x:v>
      </x:c>
      <x:c r="G50" s="12" t="str">
        <x:v>GoPay Payment</x:v>
      </x:c>
      <x:c r="H50" s="7" t="n">
        <x:v>366572</x:v>
      </x:c>
      <x:c r="I50" s="7" t="n">
        <x:v>0</x:v>
      </x:c>
      <x:c r="J50" s="7" t="n">
        <x:v>366572</x:v>
      </x:c>
      <x:c r="K50" s="12" t="str">
        <x:v>Berhasil</x:v>
      </x:c>
      <x:c r="L50" s="12" t="str">
        <x:v>Ya</x:v>
      </x:c>
      <x:c r="M50" s="12" t="str">
        <x:v>Ya</x:v>
      </x:c>
      <x:c r="N50" s="12" t="str">
        <x:v>Perlu breakdown wallet</x:v>
      </x:c>
      <x:c r="O50" s="12" t="str">
        <x:v>Aggregator payment</x:v>
      </x:c>
      <x:c r="P50" s="12" t="str">
        <x:v>19d43fd814ad1322</x:v>
      </x:c>
      <x:c r="Q50" s="13" t="str">
        <x:v>https://mail.google.com/mail/#all/19d43fd814ad1322</x:v>
      </x:c>
    </x:row>
    <x:row r="51">
      <x:c r="A51" s="11" t="n">
        <x:v>46113</x:v>
      </x:c>
      <x:c r="B51" s="12" t="str">
        <x:v>18:30:13</x:v>
      </x:c>
      <x:c r="C51" s="12" t="str">
        <x:v>Apr 2026</x:v>
      </x:c>
      <x:c r="D51" s="12" t="str">
        <x:v>Top-up Berhasil</x:v>
      </x:c>
      <x:c r="E51" s="12" t="str">
        <x:v>GoPay Customer ****9604</x:v>
      </x:c>
      <x:c r="F51" s="12" t="str">
        <x:v>Dompet Digital &amp; Aggregator</x:v>
      </x:c>
      <x:c r="G51" s="12" t="str">
        <x:v>Top-up GoPay</x:v>
      </x:c>
      <x:c r="H51" s="7" t="n">
        <x:v>50000</x:v>
      </x:c>
      <x:c r="I51" s="7" t="n">
        <x:v>1000</x:v>
      </x:c>
      <x:c r="J51" s="7" t="n">
        <x:v>51000</x:v>
      </x:c>
      <x:c r="K51" s="12" t="str">
        <x:v>Berhasil</x:v>
      </x:c>
      <x:c r="L51" s="12" t="str">
        <x:v>Ya</x:v>
      </x:c>
      <x:c r="M51" s="12" t="str">
        <x:v>Ya</x:v>
      </x:c>
      <x:c r="N51" s="12" t="str">
        <x:v>Perlu breakdown wallet</x:v>
      </x:c>
      <x:c r="O51" s="12" t="str">
        <x:v>Top-up</x:v>
      </x:c>
      <x:c r="P51" s="12" t="str">
        <x:v>19d48cf16f5764d6</x:v>
      </x:c>
      <x:c r="Q51" s="13" t="str">
        <x:v>https://mail.google.com/mail/#all/19d48cf16f5764d6</x:v>
      </x:c>
    </x:row>
    <x:row r="52">
      <x:c r="A52" s="11" t="n">
        <x:v>46113</x:v>
      </x:c>
      <x:c r="B52" s="12" t="str">
        <x:v>18:32:15</x:v>
      </x:c>
      <x:c r="C52" s="12" t="str">
        <x:v>Apr 2026</x:v>
      </x:c>
      <x:c r="D52" s="12" t="str">
        <x:v>Pembayaran Berhasil!</x:v>
      </x:c>
      <x:c r="E52" s="12" t="str">
        <x:v>Gopay Payment 60739081370309604</x:v>
      </x:c>
      <x:c r="F52" s="12" t="str">
        <x:v>Dompet Digital &amp; Aggregator</x:v>
      </x:c>
      <x:c r="G52" s="12" t="str">
        <x:v>GoPay Payment</x:v>
      </x:c>
      <x:c r="H52" s="7" t="n">
        <x:v>876168</x:v>
      </x:c>
      <x:c r="I52" s="7" t="n">
        <x:v>0</x:v>
      </x:c>
      <x:c r="J52" s="7" t="n">
        <x:v>876168</x:v>
      </x:c>
      <x:c r="K52" s="12" t="str">
        <x:v>Berhasil</x:v>
      </x:c>
      <x:c r="L52" s="12" t="str">
        <x:v>Ya</x:v>
      </x:c>
      <x:c r="M52" s="12" t="str">
        <x:v>Ya</x:v>
      </x:c>
      <x:c r="N52" s="12" t="str">
        <x:v>Perlu breakdown wallet</x:v>
      </x:c>
      <x:c r="O52" s="12" t="str">
        <x:v>Aggregator payment</x:v>
      </x:c>
      <x:c r="P52" s="12" t="str">
        <x:v>19d48d10364b0c7f</x:v>
      </x:c>
      <x:c r="Q52" s="13" t="str">
        <x:v>https://mail.google.com/mail/#all/19d48d10364b0c7f</x:v>
      </x:c>
    </x:row>
    <x:row r="53">
      <x:c r="A53" s="11" t="n">
        <x:v>46113</x:v>
      </x:c>
      <x:c r="B53" s="12" t="str">
        <x:v>18:34:17</x:v>
      </x:c>
      <x:c r="C53" s="12" t="str">
        <x:v>Apr 2026</x:v>
      </x:c>
      <x:c r="D53" s="12" t="str">
        <x:v>Transfer dengan BI Fast Berhasil</x:v>
      </x:c>
      <x:c r="E53" s="12" t="str">
        <x:v>JOICE MELATI H - Bank Negara Indonesia</x:v>
      </x:c>
      <x:c r="F53" s="12" t="str">
        <x:v>Transfer ke Orang</x:v>
      </x:c>
      <x:c r="G53" s="12" t="str">
        <x:v>Transfer orang</x:v>
      </x:c>
      <x:c r="H53" s="7" t="n">
        <x:v>232000</x:v>
      </x:c>
      <x:c r="I53" s="7" t="n">
        <x:v>2500</x:v>
      </x:c>
      <x:c r="J53" s="7" t="n">
        <x:v>234500</x:v>
      </x:c>
      <x:c r="K53" s="12" t="str">
        <x:v>Berhasil</x:v>
      </x:c>
      <x:c r="L53" s="12" t="str">
        <x:v>Ya</x:v>
      </x:c>
      <x:c r="M53" s="12" t="str">
        <x:v>Ya</x:v>
      </x:c>
      <x:c r="N53" s="12" t="str">
        <x:v>Normal</x:v>
      </x:c>
      <x:c r="O53" s="12" t="str">
        <x:v>Transfer BI Fast</x:v>
      </x:c>
      <x:c r="P53" s="12" t="str">
        <x:v>19d48d2aa21ffcb9</x:v>
      </x:c>
      <x:c r="Q53" s="13" t="str">
        <x:v>https://mail.google.com/mail/#all/19d48d2aa21ffcb9</x:v>
      </x:c>
    </x:row>
    <x:row r="54">
      <x:c r="A54" s="11" t="n">
        <x:v>46113</x:v>
      </x:c>
      <x:c r="B54" s="12" t="str">
        <x:v>18:38:55</x:v>
      </x:c>
      <x:c r="C54" s="12" t="str">
        <x:v>Apr 2026</x:v>
      </x:c>
      <x:c r="D54" s="12" t="str">
        <x:v>Pembayaran Berhasil!</x:v>
      </x:c>
      <x:c r="E54" s="12" t="str">
        <x:v>PT Tokopedia Jakarta Selatan</x:v>
      </x:c>
      <x:c r="F54" s="12" t="str">
        <x:v>Belanja Harian/Retail</x:v>
      </x:c>
      <x:c r="G54" s="12" t="str">
        <x:v>Belanja online</x:v>
      </x:c>
      <x:c r="H54" s="7" t="n">
        <x:v>190049</x:v>
      </x:c>
      <x:c r="I54" s="7" t="n">
        <x:v>0</x:v>
      </x:c>
      <x:c r="J54" s="7" t="n">
        <x:v>190049</x:v>
      </x:c>
      <x:c r="K54" s="12" t="str">
        <x:v>Berhasil</x:v>
      </x:c>
      <x:c r="L54" s="12" t="str">
        <x:v>Ya</x:v>
      </x:c>
      <x:c r="M54" s="12" t="str">
        <x:v>Ya</x:v>
      </x:c>
      <x:c r="N54" s="12" t="str">
        <x:v>Normal</x:v>
      </x:c>
      <x:c r="O54" s="12" t="str">
        <x:v>QRIS</x:v>
      </x:c>
      <x:c r="P54" s="12" t="str">
        <x:v>19d48d72f9c0a49e</x:v>
      </x:c>
      <x:c r="Q54" s="13" t="str">
        <x:v>https://mail.google.com/mail/#all/19d48d72f9c0a49e</x:v>
      </x:c>
    </x:row>
    <x:row r="55">
      <x:c r="A55" s="11" t="n">
        <x:v>46114</x:v>
      </x:c>
      <x:c r="B55" s="12" t="str">
        <x:v>07:51:24</x:v>
      </x:c>
      <x:c r="C55" s="12" t="str">
        <x:v>Apr 2026</x:v>
      </x:c>
      <x:c r="D55" s="12" t="str">
        <x:v>Top-up Berhasil</x:v>
      </x:c>
      <x:c r="E55" s="12" t="str">
        <x:v>GoPay Customer ****9604</x:v>
      </x:c>
      <x:c r="F55" s="12" t="str">
        <x:v>Dompet Digital &amp; Aggregator</x:v>
      </x:c>
      <x:c r="G55" s="12" t="str">
        <x:v>Top-up GoPay</x:v>
      </x:c>
      <x:c r="H55" s="7" t="n">
        <x:v>150000</x:v>
      </x:c>
      <x:c r="I55" s="7" t="n">
        <x:v>1000</x:v>
      </x:c>
      <x:c r="J55" s="7" t="n">
        <x:v>151000</x:v>
      </x:c>
      <x:c r="K55" s="12" t="str">
        <x:v>Berhasil</x:v>
      </x:c>
      <x:c r="L55" s="12" t="str">
        <x:v>Ya</x:v>
      </x:c>
      <x:c r="M55" s="12" t="str">
        <x:v>Ya</x:v>
      </x:c>
      <x:c r="N55" s="12" t="str">
        <x:v>Perlu breakdown wallet</x:v>
      </x:c>
      <x:c r="O55" s="12" t="str">
        <x:v>Top-up</x:v>
      </x:c>
      <x:c r="P55" s="12" t="str">
        <x:v>19d4bac8de3ff667</x:v>
      </x:c>
      <x:c r="Q55" s="13" t="str">
        <x:v>https://mail.google.com/mail/#all/19d4bac8de3ff667</x:v>
      </x:c>
    </x:row>
    <x:row r="56">
      <x:c r="A56" s="11" t="n">
        <x:v>46114</x:v>
      </x:c>
      <x:c r="B56" s="12" t="str">
        <x:v>17:11:45</x:v>
      </x:c>
      <x:c r="C56" s="12" t="str">
        <x:v>Apr 2026</x:v>
      </x:c>
      <x:c r="D56" s="12" t="str">
        <x:v>Pembayaran Berhasil!</x:v>
      </x:c>
      <x:c r="E56" s="12" t="str">
        <x:v>JCO R A MALIK MEDAN 1123</x:v>
      </x:c>
      <x:c r="F56" s="12" t="str">
        <x:v>Makan &amp; Minum</x:v>
      </x:c>
      <x:c r="G56" s="12" t="str">
        <x:v>Makanan/minuman</x:v>
      </x:c>
      <x:c r="H56" s="7" t="n">
        <x:v>46000</x:v>
      </x:c>
      <x:c r="I56" s="7" t="n">
        <x:v>0</x:v>
      </x:c>
      <x:c r="J56" s="7" t="n">
        <x:v>46000</x:v>
      </x:c>
      <x:c r="K56" s="12" t="str">
        <x:v>Berhasil</x:v>
      </x:c>
      <x:c r="L56" s="12" t="str">
        <x:v>Ya</x:v>
      </x:c>
      <x:c r="M56" s="12" t="str">
        <x:v>Ya</x:v>
      </x:c>
      <x:c r="N56" s="12" t="str">
        <x:v>Normal</x:v>
      </x:c>
      <x:c r="O56" s="12" t="str">
        <x:v>QRIS</x:v>
      </x:c>
      <x:c r="P56" s="12" t="str">
        <x:v>19d4dada2a729cb0</x:v>
      </x:c>
      <x:c r="Q56" s="13" t="str">
        <x:v>https://mail.google.com/mail/#all/19d4dada2a729cb0</x:v>
      </x:c>
    </x:row>
    <x:row r="57">
      <x:c r="A57" s="11" t="n">
        <x:v>46114</x:v>
      </x:c>
      <x:c r="B57" s="12" t="str">
        <x:v>22:47:47</x:v>
      </x:c>
      <x:c r="C57" s="12" t="str">
        <x:v>Apr 2026</x:v>
      </x:c>
      <x:c r="D57" s="12" t="str">
        <x:v>Pembayaran Berhasil!</x:v>
      </x:c>
      <x:c r="E57" s="12" t="str">
        <x:v>Burger Orio</x:v>
      </x:c>
      <x:c r="F57" s="12" t="str">
        <x:v>Makan &amp; Minum</x:v>
      </x:c>
      <x:c r="G57" s="12" t="str">
        <x:v>Makanan/minuman</x:v>
      </x:c>
      <x:c r="H57" s="7" t="n">
        <x:v>20000</x:v>
      </x:c>
      <x:c r="I57" s="7" t="n">
        <x:v>0</x:v>
      </x:c>
      <x:c r="J57" s="7" t="n">
        <x:v>20000</x:v>
      </x:c>
      <x:c r="K57" s="12" t="str">
        <x:v>Berhasil</x:v>
      </x:c>
      <x:c r="L57" s="12" t="str">
        <x:v>Ya</x:v>
      </x:c>
      <x:c r="M57" s="12" t="str">
        <x:v>Ya</x:v>
      </x:c>
      <x:c r="N57" s="12" t="str">
        <x:v>Normal</x:v>
      </x:c>
      <x:c r="O57" s="12" t="str">
        <x:v>QRIS</x:v>
      </x:c>
      <x:c r="P57" s="12" t="str">
        <x:v>19d4ee13b8378f1b</x:v>
      </x:c>
      <x:c r="Q57" s="13" t="str">
        <x:v>https://mail.google.com/mail/#all/19d4ee13b8378f1b</x:v>
      </x:c>
    </x:row>
    <x:row r="58">
      <x:c r="A58" s="11" t="n">
        <x:v>46115</x:v>
      </x:c>
      <x:c r="B58" s="12" t="str">
        <x:v>13:31:52</x:v>
      </x:c>
      <x:c r="C58" s="12" t="str">
        <x:v>Apr 2026</x:v>
      </x:c>
      <x:c r="D58" s="12" t="str">
        <x:v>Pembayaran Berhasil!</x:v>
      </x:c>
      <x:c r="E58" s="12" t="str">
        <x:v>MIE SOP BLITAR WARISAN</x:v>
      </x:c>
      <x:c r="F58" s="12" t="str">
        <x:v>Makan &amp; Minum</x:v>
      </x:c>
      <x:c r="G58" s="12" t="str">
        <x:v>Makanan/minuman</x:v>
      </x:c>
      <x:c r="H58" s="7" t="n">
        <x:v>153000</x:v>
      </x:c>
      <x:c r="I58" s="7" t="n">
        <x:v>0</x:v>
      </x:c>
      <x:c r="J58" s="7" t="n">
        <x:v>153000</x:v>
      </x:c>
      <x:c r="K58" s="12" t="str">
        <x:v>Berhasil</x:v>
      </x:c>
      <x:c r="L58" s="12" t="str">
        <x:v>Ya</x:v>
      </x:c>
      <x:c r="M58" s="12" t="str">
        <x:v>Ya</x:v>
      </x:c>
      <x:c r="N58" s="12" t="str">
        <x:v>Normal</x:v>
      </x:c>
      <x:c r="O58" s="12" t="str">
        <x:v>QRIS</x:v>
      </x:c>
      <x:c r="P58" s="12" t="str">
        <x:v>19d520a955c1a738</x:v>
      </x:c>
      <x:c r="Q58" s="13" t="str">
        <x:v>https://mail.google.com/mail/#all/19d520a955c1a738</x:v>
      </x:c>
    </x:row>
    <x:row r="59">
      <x:c r="A59" s="11" t="n">
        <x:v>46115</x:v>
      </x:c>
      <x:c r="B59" s="12" t="str">
        <x:v>19:27:57</x:v>
      </x:c>
      <x:c r="C59" s="12" t="str">
        <x:v>Apr 2026</x:v>
      </x:c>
      <x:c r="D59" s="12" t="str">
        <x:v>Top-up Berhasil</x:v>
      </x:c>
      <x:c r="E59" s="12" t="str">
        <x:v>GoPay Customer ****9604</x:v>
      </x:c>
      <x:c r="F59" s="12" t="str">
        <x:v>Dompet Digital &amp; Aggregator</x:v>
      </x:c>
      <x:c r="G59" s="12" t="str">
        <x:v>Top-up GoPay</x:v>
      </x:c>
      <x:c r="H59" s="7" t="n">
        <x:v>150000</x:v>
      </x:c>
      <x:c r="I59" s="7" t="n">
        <x:v>1000</x:v>
      </x:c>
      <x:c r="J59" s="7" t="n">
        <x:v>151000</x:v>
      </x:c>
      <x:c r="K59" s="12" t="str">
        <x:v>Berhasil</x:v>
      </x:c>
      <x:c r="L59" s="12" t="str">
        <x:v>Ya</x:v>
      </x:c>
      <x:c r="M59" s="12" t="str">
        <x:v>Ya</x:v>
      </x:c>
      <x:c r="N59" s="12" t="str">
        <x:v>Perlu breakdown wallet</x:v>
      </x:c>
      <x:c r="O59" s="12" t="str">
        <x:v>Top-up</x:v>
      </x:c>
      <x:c r="P59" s="12" t="str">
        <x:v>19d5350a064c9d7d</x:v>
      </x:c>
      <x:c r="Q59" s="13" t="str">
        <x:v>https://mail.google.com/mail/#all/19d5350a064c9d7d</x:v>
      </x:c>
    </x:row>
    <x:row r="60">
      <x:c r="A60" s="11" t="n">
        <x:v>46119</x:v>
      </x:c>
      <x:c r="B60" s="12" t="str">
        <x:v>07:19:44</x:v>
      </x:c>
      <x:c r="C60" s="12" t="str">
        <x:v>Apr 2026</x:v>
      </x:c>
      <x:c r="D60" s="12" t="str">
        <x:v>Top-up Berhasil</x:v>
      </x:c>
      <x:c r="E60" s="12" t="str">
        <x:v>GoPay Customer ****9604</x:v>
      </x:c>
      <x:c r="F60" s="12" t="str">
        <x:v>Dompet Digital &amp; Aggregator</x:v>
      </x:c>
      <x:c r="G60" s="12" t="str">
        <x:v>Top-up GoPay</x:v>
      </x:c>
      <x:c r="H60" s="7" t="n">
        <x:v>60000</x:v>
      </x:c>
      <x:c r="I60" s="7" t="n">
        <x:v>1000</x:v>
      </x:c>
      <x:c r="J60" s="7" t="n">
        <x:v>61000</x:v>
      </x:c>
      <x:c r="K60" s="12" t="str">
        <x:v>Berhasil</x:v>
      </x:c>
      <x:c r="L60" s="12" t="str">
        <x:v>Ya</x:v>
      </x:c>
      <x:c r="M60" s="12" t="str">
        <x:v>Ya</x:v>
      </x:c>
      <x:c r="N60" s="12" t="str">
        <x:v>Perlu breakdown wallet</x:v>
      </x:c>
      <x:c r="O60" s="12" t="str">
        <x:v>Top-up</x:v>
      </x:c>
      <x:c r="P60" s="12" t="str">
        <x:v>19d654f59c1f7c21</x:v>
      </x:c>
      <x:c r="Q60" s="13" t="str">
        <x:v>https://mail.google.com/mail/#all/19d654f59c1f7c21</x:v>
      </x:c>
    </x:row>
    <x:row r="61">
      <x:c r="A61" s="11" t="n">
        <x:v>46119</x:v>
      </x:c>
      <x:c r="B61" s="12" t="str">
        <x:v>23:37:06</x:v>
      </x:c>
      <x:c r="C61" s="12" t="str">
        <x:v>Apr 2026</x:v>
      </x:c>
      <x:c r="D61" s="12" t="str">
        <x:v>Transfer dengan BI Fast Berhasil</x:v>
      </x:c>
      <x:c r="E61" s="12" t="str">
        <x:v>SAMUEL ZAKARIA H - Bank Central Asia</x:v>
      </x:c>
      <x:c r="F61" s="12" t="str">
        <x:v>Transfer Diri/Tabungan</x:v>
      </x:c>
      <x:c r="G61" s="12" t="str">
        <x:v>Rekening sendiri</x:v>
      </x:c>
      <x:c r="H61" s="7" t="n">
        <x:v>200000</x:v>
      </x:c>
      <x:c r="I61" s="7" t="n">
        <x:v>2500</x:v>
      </x:c>
      <x:c r="J61" s="7" t="n">
        <x:v>202500</x:v>
      </x:c>
      <x:c r="K61" s="12" t="str">
        <x:v>Berhasil</x:v>
      </x:c>
      <x:c r="L61" s="12" t="str">
        <x:v>Ya</x:v>
      </x:c>
      <x:c r="M61" s="12" t="str">
        <x:v>Tidak</x:v>
      </x:c>
      <x:c r="N61" s="12" t="str">
        <x:v>Bukan konsumsi; cek sebagai tabungan</x:v>
      </x:c>
      <x:c r="O61" s="12" t="str">
        <x:v>Transfer ke rekening sendiri</x:v>
      </x:c>
      <x:c r="P61" s="12" t="str">
        <x:v>19d68ce283e3f313</x:v>
      </x:c>
      <x:c r="Q61" s="13" t="str">
        <x:v>https://mail.google.com/mail/#all/19d68ce283e3f313</x:v>
      </x:c>
    </x:row>
    <x:row r="62">
      <x:c r="A62" s="11" t="n">
        <x:v>46120</x:v>
      </x:c>
      <x:c r="B62" s="12" t="str">
        <x:v>12:07:37</x:v>
      </x:c>
      <x:c r="C62" s="12" t="str">
        <x:v>Apr 2026</x:v>
      </x:c>
      <x:c r="D62" s="12" t="str">
        <x:v>Transfer Berhasil</x:v>
      </x:c>
      <x:c r="E62" s="12" t="str">
        <x:v>IGA ARWANA</x:v>
      </x:c>
      <x:c r="F62" s="12" t="str">
        <x:v>Transfer ke Orang</x:v>
      </x:c>
      <x:c r="G62" s="12" t="str">
        <x:v>Transfer orang</x:v>
      </x:c>
      <x:c r="H62" s="7" t="n">
        <x:v>16000</x:v>
      </x:c>
      <x:c r="I62" s="7" t="n">
        <x:v>0</x:v>
      </x:c>
      <x:c r="J62" s="7" t="n">
        <x:v>16000</x:v>
      </x:c>
      <x:c r="K62" s="12" t="str">
        <x:v>Berhasil</x:v>
      </x:c>
      <x:c r="L62" s="12" t="str">
        <x:v>Ya</x:v>
      </x:c>
      <x:c r="M62" s="12" t="str">
        <x:v>Ya</x:v>
      </x:c>
      <x:c r="N62" s="12" t="str">
        <x:v>Normal</x:v>
      </x:c>
      <x:c r="O62" s="12" t="str">
        <x:v>Transfer</x:v>
      </x:c>
      <x:c r="P62" s="12" t="str">
        <x:v>19d6b7d3d2353476</x:v>
      </x:c>
      <x:c r="Q62" s="13" t="str">
        <x:v>https://mail.google.com/mail/#all/19d6b7d3d2353476</x:v>
      </x:c>
    </x:row>
    <x:row r="63">
      <x:c r="A63" s="11" t="n">
        <x:v>46121</x:v>
      </x:c>
      <x:c r="B63" s="12" t="str">
        <x:v>16:38:49</x:v>
      </x:c>
      <x:c r="C63" s="12" t="str">
        <x:v>Apr 2026</x:v>
      </x:c>
      <x:c r="D63" s="12" t="str">
        <x:v>Transfer Berhasil</x:v>
      </x:c>
      <x:c r="E63" s="12" t="str">
        <x:v>OLIB FELIX ANDIKA AR</x:v>
      </x:c>
      <x:c r="F63" s="12" t="str">
        <x:v>Transfer ke Orang</x:v>
      </x:c>
      <x:c r="G63" s="12" t="str">
        <x:v>Transfer orang</x:v>
      </x:c>
      <x:c r="H63" s="7" t="n">
        <x:v>8000</x:v>
      </x:c>
      <x:c r="I63" s="7" t="n">
        <x:v>0</x:v>
      </x:c>
      <x:c r="J63" s="7" t="n">
        <x:v>8000</x:v>
      </x:c>
      <x:c r="K63" s="12" t="str">
        <x:v>Berhasil</x:v>
      </x:c>
      <x:c r="L63" s="12" t="str">
        <x:v>Ya</x:v>
      </x:c>
      <x:c r="M63" s="12" t="str">
        <x:v>Ya</x:v>
      </x:c>
      <x:c r="N63" s="12" t="str">
        <x:v>Normal</x:v>
      </x:c>
      <x:c r="O63" s="12" t="str">
        <x:v>Transfer QR</x:v>
      </x:c>
      <x:c r="P63" s="12" t="str">
        <x:v>19d719c062cfc101</x:v>
      </x:c>
      <x:c r="Q63" s="13" t="str">
        <x:v>https://mail.google.com/mail/#all/19d719c062cfc101</x:v>
      </x:c>
    </x:row>
    <x:row r="64">
      <x:c r="A64" s="11" t="n">
        <x:v>46121</x:v>
      </x:c>
      <x:c r="B64" s="12" t="str">
        <x:v>21:00:34</x:v>
      </x:c>
      <x:c r="C64" s="12" t="str">
        <x:v>Apr 2026</x:v>
      </x:c>
      <x:c r="D64" s="12" t="str">
        <x:v>Pembayaran Berhasil!</x:v>
      </x:c>
      <x:c r="E64" s="12" t="str">
        <x:v>TASHIDELEK BURGER</x:v>
      </x:c>
      <x:c r="F64" s="12" t="str">
        <x:v>Makan &amp; Minum</x:v>
      </x:c>
      <x:c r="G64" s="12" t="str">
        <x:v>Makanan/minuman</x:v>
      </x:c>
      <x:c r="H64" s="7" t="n">
        <x:v>29000</x:v>
      </x:c>
      <x:c r="I64" s="7" t="n">
        <x:v>0</x:v>
      </x:c>
      <x:c r="J64" s="7" t="n">
        <x:v>29000</x:v>
      </x:c>
      <x:c r="K64" s="12" t="str">
        <x:v>Berhasil</x:v>
      </x:c>
      <x:c r="L64" s="12" t="str">
        <x:v>Ya</x:v>
      </x:c>
      <x:c r="M64" s="12" t="str">
        <x:v>Ya</x:v>
      </x:c>
      <x:c r="N64" s="12" t="str">
        <x:v>Normal</x:v>
      </x:c>
      <x:c r="O64" s="12" t="str">
        <x:v>QRIS</x:v>
      </x:c>
      <x:c r="P64" s="12" t="str">
        <x:v>19d728b9a391c2a6</x:v>
      </x:c>
      <x:c r="Q64" s="13" t="str">
        <x:v>https://mail.google.com/mail/#all/19d728b9a391c2a6</x:v>
      </x:c>
    </x:row>
    <x:row r="65">
      <x:c r="A65" s="11" t="n">
        <x:v>46122</x:v>
      </x:c>
      <x:c r="B65" s="12" t="str">
        <x:v>07:43:15</x:v>
      </x:c>
      <x:c r="C65" s="12" t="str">
        <x:v>Apr 2026</x:v>
      </x:c>
      <x:c r="D65" s="12" t="str">
        <x:v>Pembayaran Berhasil!</x:v>
      </x:c>
      <x:c r="E65" s="12" t="str">
        <x:v>Nasi Kuning Komplek Warta</x:v>
      </x:c>
      <x:c r="F65" s="12" t="str">
        <x:v>Makan &amp; Minum</x:v>
      </x:c>
      <x:c r="G65" s="12" t="str">
        <x:v>Makanan/minuman</x:v>
      </x:c>
      <x:c r="H65" s="7" t="n">
        <x:v>15000</x:v>
      </x:c>
      <x:c r="I65" s="7" t="n">
        <x:v>0</x:v>
      </x:c>
      <x:c r="J65" s="7" t="n">
        <x:v>15000</x:v>
      </x:c>
      <x:c r="K65" s="12" t="str">
        <x:v>Berhasil</x:v>
      </x:c>
      <x:c r="L65" s="12" t="str">
        <x:v>Ya</x:v>
      </x:c>
      <x:c r="M65" s="12" t="str">
        <x:v>Ya</x:v>
      </x:c>
      <x:c r="N65" s="12" t="str">
        <x:v>Normal</x:v>
      </x:c>
      <x:c r="O65" s="12" t="str">
        <x:v>QRIS</x:v>
      </x:c>
      <x:c r="P65" s="12" t="str">
        <x:v>19d74d80ab9d34b8</x:v>
      </x:c>
      <x:c r="Q65" s="13" t="str">
        <x:v>https://mail.google.com/mail/#all/19d74d80ab9d34b8</x:v>
      </x:c>
    </x:row>
    <x:row r="66">
      <x:c r="A66" s="11" t="n">
        <x:v>46122</x:v>
      </x:c>
      <x:c r="B66" s="12" t="str">
        <x:v>14:57:57</x:v>
      </x:c>
      <x:c r="C66" s="12" t="str">
        <x:v>Apr 2026</x:v>
      </x:c>
      <x:c r="D66" s="12" t="str">
        <x:v>Transfer Berhasil</x:v>
      </x:c>
      <x:c r="E66" s="12" t="str">
        <x:v>JESSICA EVANGELI</x:v>
      </x:c>
      <x:c r="F66" s="12" t="str">
        <x:v>Transfer ke Orang</x:v>
      </x:c>
      <x:c r="G66" s="12" t="str">
        <x:v>Transfer orang</x:v>
      </x:c>
      <x:c r="H66" s="7" t="n">
        <x:v>57000</x:v>
      </x:c>
      <x:c r="I66" s="7" t="n">
        <x:v>0</x:v>
      </x:c>
      <x:c r="J66" s="7" t="n">
        <x:v>57000</x:v>
      </x:c>
      <x:c r="K66" s="12" t="str">
        <x:v>Berhasil</x:v>
      </x:c>
      <x:c r="L66" s="12" t="str">
        <x:v>Ya</x:v>
      </x:c>
      <x:c r="M66" s="12" t="str">
        <x:v>Ya</x:v>
      </x:c>
      <x:c r="N66" s="12" t="str">
        <x:v>Normal</x:v>
      </x:c>
      <x:c r="O66" s="12" t="str">
        <x:v>Transfer</x:v>
      </x:c>
      <x:c r="P66" s="12" t="str">
        <x:v>19d76661a39ac346</x:v>
      </x:c>
      <x:c r="Q66" s="13" t="str">
        <x:v>https://mail.google.com/mail/#all/19d76661a39ac346</x:v>
      </x:c>
    </x:row>
    <x:row r="67">
      <x:c r="A67" s="11" t="n">
        <x:v>46122</x:v>
      </x:c>
      <x:c r="B67" s="12" t="str">
        <x:v>21:10:09</x:v>
      </x:c>
      <x:c r="C67" s="12" t="str">
        <x:v>Apr 2026</x:v>
      </x:c>
      <x:c r="D67" s="12" t="str">
        <x:v>Pembayaran Berhasil!</x:v>
      </x:c>
      <x:c r="E67" s="12" t="str">
        <x:v>TOKO OBAT KARUNIA FARMA</x:v>
      </x:c>
      <x:c r="F67" s="12" t="str">
        <x:v>Kesehatan &amp; Obat</x:v>
      </x:c>
      <x:c r="G67" s="12" t="str">
        <x:v>Obat/apotek</x:v>
      </x:c>
      <x:c r="H67" s="7" t="n">
        <x:v>19000</x:v>
      </x:c>
      <x:c r="I67" s="7" t="n">
        <x:v>0</x:v>
      </x:c>
      <x:c r="J67" s="7" t="n">
        <x:v>19000</x:v>
      </x:c>
      <x:c r="K67" s="12" t="str">
        <x:v>Berhasil</x:v>
      </x:c>
      <x:c r="L67" s="12" t="str">
        <x:v>Ya</x:v>
      </x:c>
      <x:c r="M67" s="12" t="str">
        <x:v>Ya</x:v>
      </x:c>
      <x:c r="N67" s="12" t="str">
        <x:v>Normal</x:v>
      </x:c>
      <x:c r="O67" s="12" t="str">
        <x:v>QRIS</x:v>
      </x:c>
      <x:c r="P67" s="12" t="str">
        <x:v>19d77baccc60f03b</x:v>
      </x:c>
      <x:c r="Q67" s="13" t="str">
        <x:v>https://mail.google.com/mail/#all/19d77baccc60f03b</x:v>
      </x:c>
    </x:row>
    <x:row r="68">
      <x:c r="A68" s="11" t="n">
        <x:v>46122</x:v>
      </x:c>
      <x:c r="B68" s="12" t="str">
        <x:v>21:58:56</x:v>
      </x:c>
      <x:c r="C68" s="12" t="str">
        <x:v>Apr 2026</x:v>
      </x:c>
      <x:c r="D68" s="12" t="str">
        <x:v>Pembayaran Berhasil!</x:v>
      </x:c>
      <x:c r="E68" s="12" t="str">
        <x:v>MIE AYAM KAMPUNG GOKIL</x:v>
      </x:c>
      <x:c r="F68" s="12" t="str">
        <x:v>Makan &amp; Minum</x:v>
      </x:c>
      <x:c r="G68" s="12" t="str">
        <x:v>Makanan/minuman</x:v>
      </x:c>
      <x:c r="H68" s="7" t="n">
        <x:v>96800</x:v>
      </x:c>
      <x:c r="I68" s="7" t="n">
        <x:v>0</x:v>
      </x:c>
      <x:c r="J68" s="7" t="n">
        <x:v>96800</x:v>
      </x:c>
      <x:c r="K68" s="12" t="str">
        <x:v>Berhasil</x:v>
      </x:c>
      <x:c r="L68" s="12" t="str">
        <x:v>Ya</x:v>
      </x:c>
      <x:c r="M68" s="12" t="str">
        <x:v>Ya</x:v>
      </x:c>
      <x:c r="N68" s="12" t="str">
        <x:v>Normal</x:v>
      </x:c>
      <x:c r="O68" s="12" t="str">
        <x:v>QRIS</x:v>
      </x:c>
      <x:c r="P68" s="12" t="str">
        <x:v>19d77e765ab05dde</x:v>
      </x:c>
      <x:c r="Q68" s="13" t="str">
        <x:v>https://mail.google.com/mail/#all/19d77e765ab05dde</x:v>
      </x:c>
    </x:row>
    <x:row r="69">
      <x:c r="A69" s="11" t="n">
        <x:v>46123</x:v>
      </x:c>
      <x:c r="B69" s="12" t="str">
        <x:v>16:14:24</x:v>
      </x:c>
      <x:c r="C69" s="12" t="str">
        <x:v>Apr 2026</x:v>
      </x:c>
      <x:c r="D69" s="12" t="str">
        <x:v>Top-up Berhasil</x:v>
      </x:c>
      <x:c r="E69" s="12" t="str">
        <x:v>GoPay Customer ****9604</x:v>
      </x:c>
      <x:c r="F69" s="12" t="str">
        <x:v>Dompet Digital &amp; Aggregator</x:v>
      </x:c>
      <x:c r="G69" s="12" t="str">
        <x:v>Top-up GoPay</x:v>
      </x:c>
      <x:c r="H69" s="7" t="n">
        <x:v>100000</x:v>
      </x:c>
      <x:c r="I69" s="7" t="n">
        <x:v>1000</x:v>
      </x:c>
      <x:c r="J69" s="7" t="n">
        <x:v>101000</x:v>
      </x:c>
      <x:c r="K69" s="12" t="str">
        <x:v>Berhasil</x:v>
      </x:c>
      <x:c r="L69" s="12" t="str">
        <x:v>Ya</x:v>
      </x:c>
      <x:c r="M69" s="12" t="str">
        <x:v>Ya</x:v>
      </x:c>
      <x:c r="N69" s="12" t="str">
        <x:v>Perlu breakdown wallet</x:v>
      </x:c>
      <x:c r="O69" s="12" t="str">
        <x:v>Top-up</x:v>
      </x:c>
      <x:c r="P69" s="12" t="str">
        <x:v>19d7bd24895d735f</x:v>
      </x:c>
      <x:c r="Q69" s="13" t="str">
        <x:v>https://mail.google.com/mail/#all/19d7bd24895d735f</x:v>
      </x:c>
    </x:row>
    <x:row r="70">
      <x:c r="A70" s="11" t="n">
        <x:v>46123</x:v>
      </x:c>
      <x:c r="B70" s="12" t="str">
        <x:v>18:50:21</x:v>
      </x:c>
      <x:c r="C70" s="12" t="str">
        <x:v>Apr 2026</x:v>
      </x:c>
      <x:c r="D70" s="12" t="str">
        <x:v>Pembayaran Berhasil!</x:v>
      </x:c>
      <x:c r="E70" s="12" t="str">
        <x:v>BUFFET AHMAD SALIM 3</x:v>
      </x:c>
      <x:c r="F70" s="12" t="str">
        <x:v>Makan &amp; Minum</x:v>
      </x:c>
      <x:c r="G70" s="12" t="str">
        <x:v>Makanan/minuman</x:v>
      </x:c>
      <x:c r="H70" s="7" t="n">
        <x:v>56000</x:v>
      </x:c>
      <x:c r="I70" s="7" t="n">
        <x:v>0</x:v>
      </x:c>
      <x:c r="J70" s="7" t="n">
        <x:v>56000</x:v>
      </x:c>
      <x:c r="K70" s="12" t="str">
        <x:v>Berhasil</x:v>
      </x:c>
      <x:c r="L70" s="12" t="str">
        <x:v>Ya</x:v>
      </x:c>
      <x:c r="M70" s="12" t="str">
        <x:v>Ya</x:v>
      </x:c>
      <x:c r="N70" s="12" t="str">
        <x:v>Normal</x:v>
      </x:c>
      <x:c r="O70" s="12" t="str">
        <x:v>QRIS</x:v>
      </x:c>
      <x:c r="P70" s="12" t="str">
        <x:v>19d7c610b4cd8866</x:v>
      </x:c>
      <x:c r="Q70" s="13" t="str">
        <x:v>https://mail.google.com/mail/#all/19d7c610b4cd8866</x:v>
      </x:c>
    </x:row>
    <x:row r="71">
      <x:c r="A71" s="11" t="n">
        <x:v>46124</x:v>
      </x:c>
      <x:c r="B71" s="12" t="str">
        <x:v>12:54:44</x:v>
      </x:c>
      <x:c r="C71" s="12" t="str">
        <x:v>Apr 2026</x:v>
      </x:c>
      <x:c r="D71" s="12" t="str">
        <x:v>Transfer dengan BI Fast Berhasil</x:v>
      </x:c>
      <x:c r="E71" s="12" t="str">
        <x:v>JOJOR RIOVIKA BR SIH - Bank Rakyat Indonesia</x:v>
      </x:c>
      <x:c r="F71" s="12" t="str">
        <x:v>Transfer ke Orang</x:v>
      </x:c>
      <x:c r="G71" s="12" t="str">
        <x:v>Transfer orang</x:v>
      </x:c>
      <x:c r="H71" s="7" t="n">
        <x:v>200000</x:v>
      </x:c>
      <x:c r="I71" s="7" t="n">
        <x:v>2500</x:v>
      </x:c>
      <x:c r="J71" s="7" t="n">
        <x:v>202500</x:v>
      </x:c>
      <x:c r="K71" s="12" t="str">
        <x:v>Berhasil</x:v>
      </x:c>
      <x:c r="L71" s="12" t="str">
        <x:v>Ya</x:v>
      </x:c>
      <x:c r="M71" s="12" t="str">
        <x:v>Ya</x:v>
      </x:c>
      <x:c r="N71" s="12" t="str">
        <x:v>Normal</x:v>
      </x:c>
      <x:c r="O71" s="12" t="str">
        <x:v>Transfer BI Fast</x:v>
      </x:c>
      <x:c r="P71" s="12" t="str">
        <x:v>19d8041dcc9c04a9</x:v>
      </x:c>
      <x:c r="Q71" s="13" t="str">
        <x:v>https://mail.google.com/mail/#all/19d8041dcc9c04a9</x:v>
      </x:c>
    </x:row>
    <x:row r="72">
      <x:c r="A72" s="11" t="n">
        <x:v>46124</x:v>
      </x:c>
      <x:c r="B72" s="12" t="str">
        <x:v>13:14:59</x:v>
      </x:c>
      <x:c r="C72" s="12" t="str">
        <x:v>Apr 2026</x:v>
      </x:c>
      <x:c r="D72" s="12" t="str">
        <x:v>Pembayaran Berhasil!</x:v>
      </x:c>
      <x:c r="E72" s="12" t="str">
        <x:v>MIE AYAM KAMPUNG GOKIL</x:v>
      </x:c>
      <x:c r="F72" s="12" t="str">
        <x:v>Makan &amp; Minum</x:v>
      </x:c>
      <x:c r="G72" s="12" t="str">
        <x:v>Makanan/minuman</x:v>
      </x:c>
      <x:c r="H72" s="7" t="n">
        <x:v>55000</x:v>
      </x:c>
      <x:c r="I72" s="7" t="n">
        <x:v>0</x:v>
      </x:c>
      <x:c r="J72" s="7" t="n">
        <x:v>55000</x:v>
      </x:c>
      <x:c r="K72" s="12" t="str">
        <x:v>Berhasil</x:v>
      </x:c>
      <x:c r="L72" s="12" t="str">
        <x:v>Ya</x:v>
      </x:c>
      <x:c r="M72" s="12" t="str">
        <x:v>Ya</x:v>
      </x:c>
      <x:c r="N72" s="12" t="str">
        <x:v>Normal</x:v>
      </x:c>
      <x:c r="O72" s="12" t="str">
        <x:v>QRIS</x:v>
      </x:c>
      <x:c r="P72" s="12" t="str">
        <x:v>19d80545991a846b</x:v>
      </x:c>
      <x:c r="Q72" s="13" t="str">
        <x:v>https://mail.google.com/mail/#all/19d80545991a846b</x:v>
      </x:c>
    </x:row>
    <x:row r="73">
      <x:c r="A73" s="11" t="n">
        <x:v>46124</x:v>
      </x:c>
      <x:c r="B73" s="12" t="str">
        <x:v>14:04:01</x:v>
      </x:c>
      <x:c r="C73" s="12" t="str">
        <x:v>Apr 2026</x:v>
      </x:c>
      <x:c r="D73" s="12" t="str">
        <x:v>Pembayaran Berhasil!</x:v>
      </x:c>
      <x:c r="E73" s="12" t="str">
        <x:v>CHOCO BAKERY HALAT</x:v>
      </x:c>
      <x:c r="F73" s="12" t="str">
        <x:v>Makan &amp; Minum</x:v>
      </x:c>
      <x:c r="G73" s="12" t="str">
        <x:v>Makanan/minuman</x:v>
      </x:c>
      <x:c r="H73" s="7" t="n">
        <x:v>163000</x:v>
      </x:c>
      <x:c r="I73" s="7" t="n">
        <x:v>0</x:v>
      </x:c>
      <x:c r="J73" s="7" t="n">
        <x:v>163000</x:v>
      </x:c>
      <x:c r="K73" s="12" t="str">
        <x:v>Berhasil</x:v>
      </x:c>
      <x:c r="L73" s="12" t="str">
        <x:v>Ya</x:v>
      </x:c>
      <x:c r="M73" s="12" t="str">
        <x:v>Ya</x:v>
      </x:c>
      <x:c r="N73" s="12" t="str">
        <x:v>Normal</x:v>
      </x:c>
      <x:c r="O73" s="12" t="str">
        <x:v>QRIS</x:v>
      </x:c>
      <x:c r="P73" s="12" t="str">
        <x:v>19d8081475051984</x:v>
      </x:c>
      <x:c r="Q73" s="13" t="str">
        <x:v>https://mail.google.com/mail/#all/19d8081475051984</x:v>
      </x:c>
    </x:row>
    <x:row r="74">
      <x:c r="A74" s="11" t="n">
        <x:v>46124</x:v>
      </x:c>
      <x:c r="B74" s="12" t="str">
        <x:v>15:11:28</x:v>
      </x:c>
      <x:c r="C74" s="12" t="str">
        <x:v>Apr 2026</x:v>
      </x:c>
      <x:c r="D74" s="12" t="str">
        <x:v>Pembayaran Berhasil!</x:v>
      </x:c>
      <x:c r="E74" s="12" t="str">
        <x:v>SPBU SINGAPORE STATION 5</x:v>
      </x:c>
      <x:c r="F74" s="12" t="str">
        <x:v>Transportasi &amp; BBM</x:v>
      </x:c>
      <x:c r="G74" s="12" t="str">
        <x:v>BBM</x:v>
      </x:c>
      <x:c r="H74" s="7" t="n">
        <x:v>43220</x:v>
      </x:c>
      <x:c r="I74" s="7" t="n">
        <x:v>0</x:v>
      </x:c>
      <x:c r="J74" s="7" t="n">
        <x:v>43220</x:v>
      </x:c>
      <x:c r="K74" s="12" t="str">
        <x:v>Berhasil</x:v>
      </x:c>
      <x:c r="L74" s="12" t="str">
        <x:v>Ya</x:v>
      </x:c>
      <x:c r="M74" s="12" t="str">
        <x:v>Ya</x:v>
      </x:c>
      <x:c r="N74" s="12" t="str">
        <x:v>Normal</x:v>
      </x:c>
      <x:c r="O74" s="12" t="str">
        <x:v>QRIS</x:v>
      </x:c>
      <x:c r="P74" s="12" t="str">
        <x:v>19d80bf19b45557f</x:v>
      </x:c>
      <x:c r="Q74" s="13" t="str">
        <x:v>https://mail.google.com/mail/#all/19d80bf19b45557f</x:v>
      </x:c>
    </x:row>
    <x:row r="75">
      <x:c r="A75" s="11" t="n">
        <x:v>46124</x:v>
      </x:c>
      <x:c r="B75" s="12" t="str">
        <x:v>16:55:21</x:v>
      </x:c>
      <x:c r="C75" s="12" t="str">
        <x:v>Apr 2026</x:v>
      </x:c>
      <x:c r="D75" s="12" t="str">
        <x:v>Top-up Berhasil</x:v>
      </x:c>
      <x:c r="E75" s="12" t="str">
        <x:v>Danatopup ****2563</x:v>
      </x:c>
      <x:c r="F75" s="12" t="str">
        <x:v>Dompet Digital &amp; Aggregator</x:v>
      </x:c>
      <x:c r="G75" s="12" t="str">
        <x:v>Top-up DANA</x:v>
      </x:c>
      <x:c r="H75" s="7" t="n">
        <x:v>35000</x:v>
      </x:c>
      <x:c r="I75" s="7" t="n">
        <x:v>1000</x:v>
      </x:c>
      <x:c r="J75" s="7" t="n">
        <x:v>36000</x:v>
      </x:c>
      <x:c r="K75" s="12" t="str">
        <x:v>Berhasil</x:v>
      </x:c>
      <x:c r="L75" s="12" t="str">
        <x:v>Ya</x:v>
      </x:c>
      <x:c r="M75" s="12" t="str">
        <x:v>Ya</x:v>
      </x:c>
      <x:c r="N75" s="12" t="str">
        <x:v>Perlu breakdown wallet</x:v>
      </x:c>
      <x:c r="O75" s="12" t="str">
        <x:v>Top-up</x:v>
      </x:c>
      <x:c r="P75" s="12" t="str">
        <x:v>19d811e25f9a4399</x:v>
      </x:c>
      <x:c r="Q75" s="13" t="str">
        <x:v>https://mail.google.com/mail/#all/19d811e25f9a4399</x:v>
      </x:c>
    </x:row>
    <x:row r="76">
      <x:c r="A76" s="11" t="n">
        <x:v>46124</x:v>
      </x:c>
      <x:c r="B76" s="12" t="str">
        <x:v>17:02:42</x:v>
      </x:c>
      <x:c r="C76" s="12" t="str">
        <x:v>Apr 2026</x:v>
      </x:c>
      <x:c r="D76" s="12" t="str">
        <x:v>Top-up Berhasil</x:v>
      </x:c>
      <x:c r="E76" s="12" t="str">
        <x:v>Danatopup ****5266</x:v>
      </x:c>
      <x:c r="F76" s="12" t="str">
        <x:v>Dompet Digital &amp; Aggregator</x:v>
      </x:c>
      <x:c r="G76" s="12" t="str">
        <x:v>Top-up DANA</x:v>
      </x:c>
      <x:c r="H76" s="7" t="n">
        <x:v>20500</x:v>
      </x:c>
      <x:c r="I76" s="7" t="n">
        <x:v>1000</x:v>
      </x:c>
      <x:c r="J76" s="7" t="n">
        <x:v>21500</x:v>
      </x:c>
      <x:c r="K76" s="12" t="str">
        <x:v>Berhasil</x:v>
      </x:c>
      <x:c r="L76" s="12" t="str">
        <x:v>Ya</x:v>
      </x:c>
      <x:c r="M76" s="12" t="str">
        <x:v>Ya</x:v>
      </x:c>
      <x:c r="N76" s="12" t="str">
        <x:v>Perlu breakdown wallet</x:v>
      </x:c>
      <x:c r="O76" s="12" t="str">
        <x:v>Top-up</x:v>
      </x:c>
      <x:c r="P76" s="12" t="str">
        <x:v>19d8124e4c547736</x:v>
      </x:c>
      <x:c r="Q76" s="13" t="str">
        <x:v>https://mail.google.com/mail/#all/19d8124e4c547736</x:v>
      </x:c>
    </x:row>
    <x:row r="77">
      <x:c r="A77" s="11" t="n">
        <x:v>46124</x:v>
      </x:c>
      <x:c r="B77" s="12" t="str">
        <x:v>19:55:27</x:v>
      </x:c>
      <x:c r="C77" s="12" t="str">
        <x:v>Apr 2026</x:v>
      </x:c>
      <x:c r="D77" s="12" t="str">
        <x:v>Pembayaran Berhasil!</x:v>
      </x:c>
      <x:c r="E77" s="12" t="str">
        <x:v>SOUR SALLY CENTER POINT</x:v>
      </x:c>
      <x:c r="F77" s="12" t="str">
        <x:v>Makan &amp; Minum</x:v>
      </x:c>
      <x:c r="G77" s="12" t="str">
        <x:v>Makanan/minuman</x:v>
      </x:c>
      <x:c r="H77" s="7" t="n">
        <x:v>101000</x:v>
      </x:c>
      <x:c r="I77" s="7" t="n">
        <x:v>0</x:v>
      </x:c>
      <x:c r="J77" s="7" t="n">
        <x:v>101000</x:v>
      </x:c>
      <x:c r="K77" s="12" t="str">
        <x:v>Berhasil</x:v>
      </x:c>
      <x:c r="L77" s="12" t="str">
        <x:v>Ya</x:v>
      </x:c>
      <x:c r="M77" s="12" t="str">
        <x:v>Ya</x:v>
      </x:c>
      <x:c r="N77" s="12" t="str">
        <x:v>Normal</x:v>
      </x:c>
      <x:c r="O77" s="12" t="str">
        <x:v>QRIS</x:v>
      </x:c>
      <x:c r="P77" s="12" t="str">
        <x:v>19d81c305cab6b9e</x:v>
      </x:c>
      <x:c r="Q77" s="13" t="str">
        <x:v>https://mail.google.com/mail/#all/19d81c305cab6b9e</x:v>
      </x:c>
    </x:row>
    <x:row r="78">
      <x:c r="A78" s="11" t="n">
        <x:v>46124</x:v>
      </x:c>
      <x:c r="B78" s="12" t="str">
        <x:v>21:33:09</x:v>
      </x:c>
      <x:c r="C78" s="12" t="str">
        <x:v>Apr 2026</x:v>
      </x:c>
      <x:c r="D78" s="12" t="str">
        <x:v>Pembayaran Berhasil!</x:v>
      </x:c>
      <x:c r="E78" s="12" t="str">
        <x:v>THE COFFEE CROWD</x:v>
      </x:c>
      <x:c r="F78" s="12" t="str">
        <x:v>Makan &amp; Minum</x:v>
      </x:c>
      <x:c r="G78" s="12" t="str">
        <x:v>Makanan/minuman</x:v>
      </x:c>
      <x:c r="H78" s="7" t="n">
        <x:v>331000</x:v>
      </x:c>
      <x:c r="I78" s="7" t="n">
        <x:v>0</x:v>
      </x:c>
      <x:c r="J78" s="7" t="n">
        <x:v>331000</x:v>
      </x:c>
      <x:c r="K78" s="12" t="str">
        <x:v>Berhasil</x:v>
      </x:c>
      <x:c r="L78" s="12" t="str">
        <x:v>Ya</x:v>
      </x:c>
      <x:c r="M78" s="12" t="str">
        <x:v>Ya</x:v>
      </x:c>
      <x:c r="N78" s="12" t="str">
        <x:v>Normal</x:v>
      </x:c>
      <x:c r="O78" s="12" t="str">
        <x:v>QRIS</x:v>
      </x:c>
      <x:c r="P78" s="12" t="str">
        <x:v>19d821c8d066cf5a</x:v>
      </x:c>
      <x:c r="Q78" s="13" t="str">
        <x:v>https://mail.google.com/mail/#all/19d821c8d066cf5a</x:v>
      </x:c>
    </x:row>
    <x:row r="79">
      <x:c r="A79" s="11" t="n">
        <x:v>46127</x:v>
      </x:c>
      <x:c r="B79" s="12" t="str">
        <x:v>07:52:04</x:v>
      </x:c>
      <x:c r="C79" s="12" t="str">
        <x:v>Apr 2026</x:v>
      </x:c>
      <x:c r="D79" s="12" t="str">
        <x:v>Pembayaran Berhasil!</x:v>
      </x:c>
      <x:c r="E79" s="12" t="str">
        <x:v>IDM QRIS LIVIN</x:v>
      </x:c>
      <x:c r="F79" s="12" t="str">
        <x:v>Belanja Harian/Retail</x:v>
      </x:c>
      <x:c r="G79" s="12" t="str">
        <x:v>Retail/minimarket</x:v>
      </x:c>
      <x:c r="H79" s="7" t="n">
        <x:v>68400</x:v>
      </x:c>
      <x:c r="I79" s="7" t="n">
        <x:v>0</x:v>
      </x:c>
      <x:c r="J79" s="7" t="n">
        <x:v>68400</x:v>
      </x:c>
      <x:c r="K79" s="12" t="str">
        <x:v>Berhasil</x:v>
      </x:c>
      <x:c r="L79" s="12" t="str">
        <x:v>Ya</x:v>
      </x:c>
      <x:c r="M79" s="12" t="str">
        <x:v>Ya</x:v>
      </x:c>
      <x:c r="N79" s="12" t="str">
        <x:v>Normal</x:v>
      </x:c>
      <x:c r="O79" s="12" t="str">
        <x:v>QRIS</x:v>
      </x:c>
      <x:c r="P79" s="12" t="str">
        <x:v>19d8e9fc783d0e1b</x:v>
      </x:c>
      <x:c r="Q79" s="13" t="str">
        <x:v>https://mail.google.com/mail/#all/19d8e9fc783d0e1b</x:v>
      </x:c>
    </x:row>
    <x:row r="80">
      <x:c r="A80" s="11" t="n">
        <x:v>46127</x:v>
      </x:c>
      <x:c r="B80" s="12" t="str">
        <x:v>21:56:59</x:v>
      </x:c>
      <x:c r="C80" s="12" t="str">
        <x:v>Apr 2026</x:v>
      </x:c>
      <x:c r="D80" s="12" t="str">
        <x:v>Transfer dengan BI Fast Berhasil</x:v>
      </x:c>
      <x:c r="E80" s="12" t="str">
        <x:v>RIA REJEKI TAMBA - Bank Rakyat Indonesia</x:v>
      </x:c>
      <x:c r="F80" s="12" t="str">
        <x:v>Transfer ke Orang</x:v>
      </x:c>
      <x:c r="G80" s="12" t="str">
        <x:v>Transfer orang</x:v>
      </x:c>
      <x:c r="H80" s="7" t="n">
        <x:v>20000</x:v>
      </x:c>
      <x:c r="I80" s="7" t="n">
        <x:v>2500</x:v>
      </x:c>
      <x:c r="J80" s="7" t="n">
        <x:v>22500</x:v>
      </x:c>
      <x:c r="K80" s="12" t="str">
        <x:v>Berhasil</x:v>
      </x:c>
      <x:c r="L80" s="12" t="str">
        <x:v>Ya</x:v>
      </x:c>
      <x:c r="M80" s="12" t="str">
        <x:v>Ya</x:v>
      </x:c>
      <x:c r="N80" s="12" t="str">
        <x:v>Normal</x:v>
      </x:c>
      <x:c r="O80" s="12" t="str">
        <x:v>Transfer BI Fast</x:v>
      </x:c>
      <x:c r="P80" s="12" t="str">
        <x:v>19d91a566fa75a35</x:v>
      </x:c>
      <x:c r="Q80" s="13" t="str">
        <x:v>https://mail.google.com/mail/#all/19d91a566fa75a35</x:v>
      </x:c>
    </x:row>
    <x:row r="81">
      <x:c r="A81" s="11" t="n">
        <x:v>46129</x:v>
      </x:c>
      <x:c r="B81" s="12" t="str">
        <x:v>07:36:57</x:v>
      </x:c>
      <x:c r="C81" s="12" t="str">
        <x:v>Apr 2026</x:v>
      </x:c>
      <x:c r="D81" s="12" t="str">
        <x:v>Pembayaran Berhasil!</x:v>
      </x:c>
      <x:c r="E81" s="12" t="str">
        <x:v>Nasi Kuning Komplek Warta</x:v>
      </x:c>
      <x:c r="F81" s="12" t="str">
        <x:v>Makan &amp; Minum</x:v>
      </x:c>
      <x:c r="G81" s="12" t="str">
        <x:v>Makanan/minuman</x:v>
      </x:c>
      <x:c r="H81" s="7" t="n">
        <x:v>15000</x:v>
      </x:c>
      <x:c r="I81" s="7" t="n">
        <x:v>0</x:v>
      </x:c>
      <x:c r="J81" s="7" t="n">
        <x:v>15000</x:v>
      </x:c>
      <x:c r="K81" s="12" t="str">
        <x:v>Berhasil</x:v>
      </x:c>
      <x:c r="L81" s="12" t="str">
        <x:v>Ya</x:v>
      </x:c>
      <x:c r="M81" s="12" t="str">
        <x:v>Ya</x:v>
      </x:c>
      <x:c r="N81" s="12" t="str">
        <x:v>Normal</x:v>
      </x:c>
      <x:c r="O81" s="12" t="str">
        <x:v>QRIS</x:v>
      </x:c>
      <x:c r="P81" s="12" t="str">
        <x:v>19d98dedccce0eef</x:v>
      </x:c>
      <x:c r="Q81" s="13" t="str">
        <x:v>https://mail.google.com/mail/#all/19d98dedccce0eef</x:v>
      </x:c>
    </x:row>
    <x:row r="82">
      <x:c r="A82" s="11" t="n">
        <x:v>46130</x:v>
      </x:c>
      <x:c r="B82" s="12" t="str">
        <x:v>07:32:33</x:v>
      </x:c>
      <x:c r="C82" s="12" t="str">
        <x:v>Apr 2026</x:v>
      </x:c>
      <x:c r="D82" s="12" t="str">
        <x:v>Pembayaran Berhasil!</x:v>
      </x:c>
      <x:c r="E82" s="12" t="str">
        <x:v>MIE BAHAGIA YENNY-HO</x:v>
      </x:c>
      <x:c r="F82" s="12" t="str">
        <x:v>Makan &amp; Minum</x:v>
      </x:c>
      <x:c r="G82" s="12" t="str">
        <x:v>Makanan/minuman</x:v>
      </x:c>
      <x:c r="H82" s="7" t="n">
        <x:v>63000</x:v>
      </x:c>
      <x:c r="I82" s="7" t="n">
        <x:v>0</x:v>
      </x:c>
      <x:c r="J82" s="7" t="n">
        <x:v>63000</x:v>
      </x:c>
      <x:c r="K82" s="12" t="str">
        <x:v>Berhasil</x:v>
      </x:c>
      <x:c r="L82" s="12" t="str">
        <x:v>Ya</x:v>
      </x:c>
      <x:c r="M82" s="12" t="str">
        <x:v>Ya</x:v>
      </x:c>
      <x:c r="N82" s="12" t="str">
        <x:v>Normal</x:v>
      </x:c>
      <x:c r="O82" s="12" t="str">
        <x:v>QRIS</x:v>
      </x:c>
      <x:c r="P82" s="12" t="str">
        <x:v>19d9e0122a809373</x:v>
      </x:c>
      <x:c r="Q82" s="13" t="str">
        <x:v>https://mail.google.com/mail/#all/19d9e0122a809373</x:v>
      </x:c>
    </x:row>
    <x:row r="83">
      <x:c r="A83" s="11" t="n">
        <x:v>46131</x:v>
      </x:c>
      <x:c r="B83" s="12" t="str">
        <x:v>17:28:52</x:v>
      </x:c>
      <x:c r="C83" s="12" t="str">
        <x:v>Apr 2026</x:v>
      </x:c>
      <x:c r="D83" s="12" t="str">
        <x:v>Pembayaran Berhasil!</x:v>
      </x:c>
      <x:c r="E83" s="12" t="str">
        <x:v>KOKORO COFFEE</x:v>
      </x:c>
      <x:c r="F83" s="12" t="str">
        <x:v>Makan &amp; Minum</x:v>
      </x:c>
      <x:c r="G83" s="12" t="str">
        <x:v>Makanan/minuman</x:v>
      </x:c>
      <x:c r="H83" s="7" t="n">
        <x:v>80000</x:v>
      </x:c>
      <x:c r="I83" s="7" t="n">
        <x:v>0</x:v>
      </x:c>
      <x:c r="J83" s="7" t="n">
        <x:v>80000</x:v>
      </x:c>
      <x:c r="K83" s="12" t="str">
        <x:v>Berhasil</x:v>
      </x:c>
      <x:c r="L83" s="12" t="str">
        <x:v>Ya</x:v>
      </x:c>
      <x:c r="M83" s="12" t="str">
        <x:v>Ya</x:v>
      </x:c>
      <x:c r="N83" s="12" t="str">
        <x:v>Normal</x:v>
      </x:c>
      <x:c r="O83" s="12" t="str">
        <x:v>QRIS</x:v>
      </x:c>
      <x:c r="P83" s="12" t="str">
        <x:v>19da5496dfe79466</x:v>
      </x:c>
      <x:c r="Q83" s="13" t="str">
        <x:v>https://mail.google.com/mail/#all/19da5496dfe79466</x:v>
      </x:c>
    </x:row>
    <x:row r="84">
      <x:c r="A84" s="11" t="n">
        <x:v>46132</x:v>
      </x:c>
      <x:c r="B84" s="12" t="str">
        <x:v>07:48:08</x:v>
      </x:c>
      <x:c r="C84" s="12" t="str">
        <x:v>Apr 2026</x:v>
      </x:c>
      <x:c r="D84" s="12" t="str">
        <x:v>Pembayaran Berhasil!</x:v>
      </x:c>
      <x:c r="E84" s="12" t="str">
        <x:v>Nasi Kuning Komplek Warta</x:v>
      </x:c>
      <x:c r="F84" s="12" t="str">
        <x:v>Makan &amp; Minum</x:v>
      </x:c>
      <x:c r="G84" s="12" t="str">
        <x:v>Makanan/minuman</x:v>
      </x:c>
      <x:c r="H84" s="7" t="n">
        <x:v>15000</x:v>
      </x:c>
      <x:c r="I84" s="7" t="n">
        <x:v>0</x:v>
      </x:c>
      <x:c r="J84" s="7" t="n">
        <x:v>15000</x:v>
      </x:c>
      <x:c r="K84" s="12" t="str">
        <x:v>Berhasil</x:v>
      </x:c>
      <x:c r="L84" s="12" t="str">
        <x:v>Ya</x:v>
      </x:c>
      <x:c r="M84" s="12" t="str">
        <x:v>Ya</x:v>
      </x:c>
      <x:c r="N84" s="12" t="str">
        <x:v>Normal</x:v>
      </x:c>
      <x:c r="O84" s="12" t="str">
        <x:v>QRIS</x:v>
      </x:c>
      <x:c r="P84" s="12" t="str">
        <x:v>19da85c1533b37a5</x:v>
      </x:c>
      <x:c r="Q84" s="13" t="str">
        <x:v>https://mail.google.com/mail/#all/19da85c1533b37a5</x:v>
      </x:c>
    </x:row>
    <x:row r="85">
      <x:c r="A85" s="11" t="n">
        <x:v>46132</x:v>
      </x:c>
      <x:c r="B85" s="12" t="str">
        <x:v>17:50:58</x:v>
      </x:c>
      <x:c r="C85" s="12" t="str">
        <x:v>Apr 2026</x:v>
      </x:c>
      <x:c r="D85" s="12" t="str">
        <x:v>Transfer dengan BI Fast Berhasil</x:v>
      </x:c>
      <x:c r="E85" s="12" t="str">
        <x:v>KOK LI - Bank Danamon Indonesia</x:v>
      </x:c>
      <x:c r="F85" s="12" t="str">
        <x:v>Transfer ke Orang</x:v>
      </x:c>
      <x:c r="G85" s="12" t="str">
        <x:v>Transfer orang</x:v>
      </x:c>
      <x:c r="H85" s="7" t="n">
        <x:v>24000</x:v>
      </x:c>
      <x:c r="I85" s="7" t="n">
        <x:v>2500</x:v>
      </x:c>
      <x:c r="J85" s="7" t="n">
        <x:v>26500</x:v>
      </x:c>
      <x:c r="K85" s="12" t="str">
        <x:v>Berhasil</x:v>
      </x:c>
      <x:c r="L85" s="12" t="str">
        <x:v>Ya</x:v>
      </x:c>
      <x:c r="M85" s="12" t="str">
        <x:v>Ya</x:v>
      </x:c>
      <x:c r="N85" s="12" t="str">
        <x:v>Normal</x:v>
      </x:c>
      <x:c r="O85" s="12" t="str">
        <x:v>Transfer BI Fast</x:v>
      </x:c>
      <x:c r="P85" s="12" t="str">
        <x:v>19daa83f1748d3ee</x:v>
      </x:c>
      <x:c r="Q85" s="13" t="str">
        <x:v>https://mail.google.com/mail/#all/19daa83f1748d3ee</x:v>
      </x:c>
    </x:row>
    <x:row r="86">
      <x:c r="A86" s="11" t="n">
        <x:v>46133</x:v>
      </x:c>
      <x:c r="B86" s="12" t="str">
        <x:v>23:39:41</x:v>
      </x:c>
      <x:c r="C86" s="12" t="str">
        <x:v>Apr 2026</x:v>
      </x:c>
      <x:c r="D86" s="12" t="str">
        <x:v>Permintaan Penjualan Reksa Dana Terkirim</x:v>
      </x:c>
      <x:c r="E86" s="12" t="str">
        <x:v>Mandiri Investa Syariah Berimbang Kelas A</x:v>
      </x:c>
      <x:c r="F86" s="12" t="str">
        <x:v>Investasi/Non-pengeluaran</x:v>
      </x:c>
      <x:c r="G86" s="12" t="str">
        <x:v>Reksa dana</x:v>
      </x:c>
      <x:c r="H86" s="7" t="n">
        <x:v>0</x:v>
      </x:c>
      <x:c r="I86" s="7" t="n">
        <x:v>0</x:v>
      </x:c>
      <x:c r="J86" s="7" t="n">
        <x:v>0</x:v>
      </x:c>
      <x:c r="K86" s="12" t="str">
        <x:v>Berhasil</x:v>
      </x:c>
      <x:c r="L86" s="12" t="str">
        <x:v>Tidak</x:v>
      </x:c>
      <x:c r="M86" s="12" t="str">
        <x:v>Tidak</x:v>
      </x:c>
      <x:c r="N86" s="12" t="str">
        <x:v>Pisahkan dari biaya hidup</x:v>
      </x:c>
      <x:c r="O86" s="12" t="str">
        <x:v>Non-pengeluaran investasi</x:v>
      </x:c>
      <x:c r="P86" s="12" t="str">
        <x:v>19db0e9946142bb6</x:v>
      </x:c>
      <x:c r="Q86" s="13" t="str">
        <x:v>https://mail.google.com/mail/#all/19db0e9946142bb6</x:v>
      </x:c>
    </x:row>
    <x:row r="87">
      <x:c r="A87" s="11" t="n">
        <x:v>46134</x:v>
      </x:c>
      <x:c r="B87" s="12" t="str">
        <x:v>06:25:57</x:v>
      </x:c>
      <x:c r="C87" s="12" t="str">
        <x:v>Apr 2026</x:v>
      </x:c>
      <x:c r="D87" s="12" t="str">
        <x:v>Transfer dengan BI Fast Berhasil</x:v>
      </x:c>
      <x:c r="E87" s="12" t="str">
        <x:v>ROHDEARNI BARUTU - Bank Permata</x:v>
      </x:c>
      <x:c r="F87" s="12" t="str">
        <x:v>Transfer ke Orang</x:v>
      </x:c>
      <x:c r="G87" s="12" t="str">
        <x:v>Transfer orang</x:v>
      </x:c>
      <x:c r="H87" s="7" t="n">
        <x:v>10000000</x:v>
      </x:c>
      <x:c r="I87" s="7" t="n">
        <x:v>2500</x:v>
      </x:c>
      <x:c r="J87" s="7" t="n">
        <x:v>10002500</x:v>
      </x:c>
      <x:c r="K87" s="12" t="str">
        <x:v>Berhasil</x:v>
      </x:c>
      <x:c r="L87" s="12" t="str">
        <x:v>Ya</x:v>
      </x:c>
      <x:c r="M87" s="12" t="str">
        <x:v>Ya</x:v>
      </x:c>
      <x:c r="N87" s="12" t="str">
        <x:v>High review</x:v>
      </x:c>
      <x:c r="O87" s="12" t="str">
        <x:v>Transfer besar, perlu konfirmasi tujuan</x:v>
      </x:c>
      <x:c r="P87" s="12" t="str">
        <x:v>19db25d85ead9a92</x:v>
      </x:c>
      <x:c r="Q87" s="13" t="str">
        <x:v>https://mail.google.com/mail/#all/19db25d85ead9a92</x:v>
      </x:c>
    </x:row>
    <x:row r="88">
      <x:c r="A88" s="11" t="n">
        <x:v>46134</x:v>
      </x:c>
      <x:c r="B88" s="12" t="str">
        <x:v>15:01:22</x:v>
      </x:c>
      <x:c r="C88" s="12" t="str">
        <x:v>Apr 2026</x:v>
      </x:c>
      <x:c r="D88" s="12" t="str">
        <x:v>Penjualan Reksa Dana Dikonfirmasi</x:v>
      </x:c>
      <x:c r="E88" s="12" t="str">
        <x:v>Mandiri Investa Syariah Berimbang Kelas A</x:v>
      </x:c>
      <x:c r="F88" s="12" t="str">
        <x:v>Investasi/Non-pengeluaran</x:v>
      </x:c>
      <x:c r="G88" s="12" t="str">
        <x:v>Reksa dana</x:v>
      </x:c>
      <x:c r="H88" s="7" t="n">
        <x:v>0</x:v>
      </x:c>
      <x:c r="I88" s="7" t="n">
        <x:v>0</x:v>
      </x:c>
      <x:c r="J88" s="7" t="n">
        <x:v>0</x:v>
      </x:c>
      <x:c r="K88" s="12" t="str">
        <x:v>Berhasil</x:v>
      </x:c>
      <x:c r="L88" s="12" t="str">
        <x:v>Tidak</x:v>
      </x:c>
      <x:c r="M88" s="12" t="str">
        <x:v>Tidak</x:v>
      </x:c>
      <x:c r="N88" s="12" t="str">
        <x:v>Pisahkan dari biaya hidup</x:v>
      </x:c>
      <x:c r="O88" s="12" t="str">
        <x:v>Non-pengeluaran investasi</x:v>
      </x:c>
      <x:c r="P88" s="12" t="str">
        <x:v>19db43562e6a0599</x:v>
      </x:c>
      <x:c r="Q88" s="13" t="str">
        <x:v>https://mail.google.com/mail/#all/19db43562e6a0599</x:v>
      </x:c>
    </x:row>
    <x:row r="89">
      <x:c r="A89" s="11" t="n">
        <x:v>46134</x:v>
      </x:c>
      <x:c r="B89" s="12" t="str">
        <x:v>15:04:04</x:v>
      </x:c>
      <x:c r="C89" s="12" t="str">
        <x:v>Apr 2026</x:v>
      </x:c>
      <x:c r="D89" s="12" t="str">
        <x:v>Transfer Berhasil</x:v>
      </x:c>
      <x:c r="E89" s="12" t="str">
        <x:v>OLIB FELIX ANDIKA AR</x:v>
      </x:c>
      <x:c r="F89" s="12" t="str">
        <x:v>Transfer ke Orang</x:v>
      </x:c>
      <x:c r="G89" s="12" t="str">
        <x:v>Transfer orang</x:v>
      </x:c>
      <x:c r="H89" s="7" t="n">
        <x:v>20000</x:v>
      </x:c>
      <x:c r="I89" s="7" t="n">
        <x:v>0</x:v>
      </x:c>
      <x:c r="J89" s="7" t="n">
        <x:v>20000</x:v>
      </x:c>
      <x:c r="K89" s="12" t="str">
        <x:v>Berhasil</x:v>
      </x:c>
      <x:c r="L89" s="12" t="str">
        <x:v>Ya</x:v>
      </x:c>
      <x:c r="M89" s="12" t="str">
        <x:v>Ya</x:v>
      </x:c>
      <x:c r="N89" s="12" t="str">
        <x:v>Normal</x:v>
      </x:c>
      <x:c r="O89" s="12" t="str">
        <x:v>Transfer QR</x:v>
      </x:c>
      <x:c r="P89" s="12" t="str">
        <x:v>19db437deb6bceb1</x:v>
      </x:c>
      <x:c r="Q89" s="13" t="str">
        <x:v>https://mail.google.com/mail/#all/19db437deb6bceb1</x:v>
      </x:c>
    </x:row>
    <x:row r="90">
      <x:c r="A90" s="11" t="n">
        <x:v>46134</x:v>
      </x:c>
      <x:c r="B90" s="12" t="str">
        <x:v>18:04:13</x:v>
      </x:c>
      <x:c r="C90" s="12" t="str">
        <x:v>Apr 2026</x:v>
      </x:c>
      <x:c r="D90" s="12" t="str">
        <x:v>Pembayaran Berhasil!</x:v>
      </x:c>
      <x:c r="E90" s="12" t="str">
        <x:v>TASHIDELEK BURGER</x:v>
      </x:c>
      <x:c r="F90" s="12" t="str">
        <x:v>Makan &amp; Minum</x:v>
      </x:c>
      <x:c r="G90" s="12" t="str">
        <x:v>Makanan/minuman</x:v>
      </x:c>
      <x:c r="H90" s="7" t="n">
        <x:v>22000</x:v>
      </x:c>
      <x:c r="I90" s="7" t="n">
        <x:v>0</x:v>
      </x:c>
      <x:c r="J90" s="7" t="n">
        <x:v>22000</x:v>
      </x:c>
      <x:c r="K90" s="12" t="str">
        <x:v>Berhasil</x:v>
      </x:c>
      <x:c r="L90" s="12" t="str">
        <x:v>Ya</x:v>
      </x:c>
      <x:c r="M90" s="12" t="str">
        <x:v>Ya</x:v>
      </x:c>
      <x:c r="N90" s="12" t="str">
        <x:v>Normal</x:v>
      </x:c>
      <x:c r="O90" s="12" t="str">
        <x:v>QRIS</x:v>
      </x:c>
      <x:c r="P90" s="12" t="str">
        <x:v>19db4dcd3c142055</x:v>
      </x:c>
      <x:c r="Q90" s="13" t="str">
        <x:v>https://mail.google.com/mail/#all/19db4dcd3c142055</x:v>
      </x:c>
    </x:row>
    <x:row r="91">
      <x:c r="A91" s="11" t="n">
        <x:v>46135</x:v>
      </x:c>
      <x:c r="B91" s="12" t="str">
        <x:v>11:01:34</x:v>
      </x:c>
      <x:c r="C91" s="12" t="str">
        <x:v>Apr 2026</x:v>
      </x:c>
      <x:c r="D91" s="12" t="str">
        <x:v>Penjualan Reksa Dana Selesai</x:v>
      </x:c>
      <x:c r="E91" s="12" t="str">
        <x:v>Mandiri Investa Syariah Berimbang Kelas A</x:v>
      </x:c>
      <x:c r="F91" s="12" t="str">
        <x:v>Investasi/Non-pengeluaran</x:v>
      </x:c>
      <x:c r="G91" s="12" t="str">
        <x:v>Reksa dana</x:v>
      </x:c>
      <x:c r="H91" s="7" t="n">
        <x:v>0</x:v>
      </x:c>
      <x:c r="I91" s="7" t="n">
        <x:v>0</x:v>
      </x:c>
      <x:c r="J91" s="7" t="n">
        <x:v>0</x:v>
      </x:c>
      <x:c r="K91" s="12" t="str">
        <x:v>Berhasil</x:v>
      </x:c>
      <x:c r="L91" s="12" t="str">
        <x:v>Tidak</x:v>
      </x:c>
      <x:c r="M91" s="12" t="str">
        <x:v>Tidak</x:v>
      </x:c>
      <x:c r="N91" s="12" t="str">
        <x:v>Pisahkan dari biaya hidup</x:v>
      </x:c>
      <x:c r="O91" s="12" t="str">
        <x:v>Non-pengeluaran investasi</x:v>
      </x:c>
      <x:c r="P91" s="12" t="str">
        <x:v>19db8803765157c3</x:v>
      </x:c>
      <x:c r="Q91" s="13" t="str">
        <x:v>https://mail.google.com/mail/#all/19db8803765157c3</x:v>
      </x:c>
    </x:row>
    <x:row r="92">
      <x:c r="A92" s="11" t="n">
        <x:v>46135</x:v>
      </x:c>
      <x:c r="B92" s="12" t="str">
        <x:v>15:48:05</x:v>
      </x:c>
      <x:c r="C92" s="12" t="str">
        <x:v>Apr 2026</x:v>
      </x:c>
      <x:c r="D92" s="12" t="str">
        <x:v>Transfer Berhasil</x:v>
      </x:c>
      <x:c r="E92" s="12" t="str">
        <x:v>JULIA MENTARI</x:v>
      </x:c>
      <x:c r="F92" s="12" t="str">
        <x:v>Transfer ke Orang</x:v>
      </x:c>
      <x:c r="G92" s="12" t="str">
        <x:v>Transfer orang</x:v>
      </x:c>
      <x:c r="H92" s="7" t="n">
        <x:v>207250</x:v>
      </x:c>
      <x:c r="I92" s="7" t="n">
        <x:v>0</x:v>
      </x:c>
      <x:c r="J92" s="7" t="n">
        <x:v>207250</x:v>
      </x:c>
      <x:c r="K92" s="12" t="str">
        <x:v>Berhasil</x:v>
      </x:c>
      <x:c r="L92" s="12" t="str">
        <x:v>Ya</x:v>
      </x:c>
      <x:c r="M92" s="12" t="str">
        <x:v>Ya</x:v>
      </x:c>
      <x:c r="N92" s="12" t="str">
        <x:v>Normal</x:v>
      </x:c>
      <x:c r="O92" s="12" t="str">
        <x:v>Transfer QR</x:v>
      </x:c>
      <x:c r="P92" s="12" t="str">
        <x:v>19db986937733498</x:v>
      </x:c>
      <x:c r="Q92" s="13" t="str">
        <x:v>https://mail.google.com/mail/#all/19db986937733498</x:v>
      </x:c>
    </x:row>
    <x:row r="93">
      <x:c r="A93" s="11" t="n">
        <x:v>46135</x:v>
      </x:c>
      <x:c r="B93" s="12" t="str">
        <x:v>19:04:16</x:v>
      </x:c>
      <x:c r="C93" s="12" t="str">
        <x:v>Apr 2026</x:v>
      </x:c>
      <x:c r="D93" s="12" t="str">
        <x:v>Pembayaran Berhasil!</x:v>
      </x:c>
      <x:c r="E93" s="12" t="str">
        <x:v>SPBU 11-201102</x:v>
      </x:c>
      <x:c r="F93" s="12" t="str">
        <x:v>Transportasi &amp; BBM</x:v>
      </x:c>
      <x:c r="G93" s="12" t="str">
        <x:v>BBM</x:v>
      </x:c>
      <x:c r="H93" s="7" t="n">
        <x:v>40270</x:v>
      </x:c>
      <x:c r="I93" s="7" t="n">
        <x:v>0</x:v>
      </x:c>
      <x:c r="J93" s="7" t="n">
        <x:v>40270</x:v>
      </x:c>
      <x:c r="K93" s="12" t="str">
        <x:v>Berhasil</x:v>
      </x:c>
      <x:c r="L93" s="12" t="str">
        <x:v>Ya</x:v>
      </x:c>
      <x:c r="M93" s="12" t="str">
        <x:v>Ya</x:v>
      </x:c>
      <x:c r="N93" s="12" t="str">
        <x:v>Normal</x:v>
      </x:c>
      <x:c r="O93" s="12" t="str">
        <x:v>QRIS</x:v>
      </x:c>
      <x:c r="P93" s="12" t="str">
        <x:v>19dba3a2acbb25e8</x:v>
      </x:c>
      <x:c r="Q93" s="13" t="str">
        <x:v>https://mail.google.com/mail/#all/19dba3a2acbb25e8</x:v>
      </x:c>
    </x:row>
    <x:row r="94">
      <x:c r="A94" s="11" t="n">
        <x:v>46136</x:v>
      </x:c>
      <x:c r="B94" s="12" t="str">
        <x:v>07:47:36</x:v>
      </x:c>
      <x:c r="C94" s="12" t="str">
        <x:v>Apr 2026</x:v>
      </x:c>
      <x:c r="D94" s="12" t="str">
        <x:v>Pembayaran Berhasil!</x:v>
      </x:c>
      <x:c r="E94" s="12" t="str">
        <x:v>Nasi Kuning Komplek Warta</x:v>
      </x:c>
      <x:c r="F94" s="12" t="str">
        <x:v>Makan &amp; Minum</x:v>
      </x:c>
      <x:c r="G94" s="12" t="str">
        <x:v>Makanan/minuman</x:v>
      </x:c>
      <x:c r="H94" s="7" t="n">
        <x:v>15000</x:v>
      </x:c>
      <x:c r="I94" s="7" t="n">
        <x:v>0</x:v>
      </x:c>
      <x:c r="J94" s="7" t="n">
        <x:v>15000</x:v>
      </x:c>
      <x:c r="K94" s="12" t="str">
        <x:v>Berhasil</x:v>
      </x:c>
      <x:c r="L94" s="12" t="str">
        <x:v>Ya</x:v>
      </x:c>
      <x:c r="M94" s="12" t="str">
        <x:v>Ya</x:v>
      </x:c>
      <x:c r="N94" s="12" t="str">
        <x:v>Normal</x:v>
      </x:c>
      <x:c r="O94" s="12" t="str">
        <x:v>QRIS</x:v>
      </x:c>
      <x:c r="P94" s="12" t="str">
        <x:v>19dbcf4f99734cd7</x:v>
      </x:c>
      <x:c r="Q94" s="13" t="str">
        <x:v>https://mail.google.com/mail/#all/19dbcf4f99734cd7</x:v>
      </x:c>
    </x:row>
    <x:row r="95">
      <x:c r="A95" s="11" t="n">
        <x:v>46136</x:v>
      </x:c>
      <x:c r="B95" s="12" t="str">
        <x:v>08:05:55</x:v>
      </x:c>
      <x:c r="C95" s="12" t="str">
        <x:v>Apr 2026</x:v>
      </x:c>
      <x:c r="D95" s="12" t="str">
        <x:v>Pembayaran Berhasil!</x:v>
      </x:c>
      <x:c r="E95" s="12" t="str">
        <x:v>Tokopedia 8870881370309604</x:v>
      </x:c>
      <x:c r="F95" s="12" t="str">
        <x:v>Belanja Harian/Retail</x:v>
      </x:c>
      <x:c r="G95" s="12" t="str">
        <x:v>Belanja online</x:v>
      </x:c>
      <x:c r="H95" s="7" t="n">
        <x:v>552250</x:v>
      </x:c>
      <x:c r="I95" s="7" t="n">
        <x:v>3000</x:v>
      </x:c>
      <x:c r="J95" s="7" t="n">
        <x:v>555250</x:v>
      </x:c>
      <x:c r="K95" s="12" t="str">
        <x:v>Berhasil</x:v>
      </x:c>
      <x:c r="L95" s="12" t="str">
        <x:v>Ya</x:v>
      </x:c>
      <x:c r="M95" s="12" t="str">
        <x:v>Ya</x:v>
      </x:c>
      <x:c r="N95" s="12" t="str">
        <x:v>Review</x:v>
      </x:c>
      <x:c r="O95" s="12" t="str">
        <x:v>Payment</x:v>
      </x:c>
      <x:c r="P95" s="12" t="str">
        <x:v>19dbd05fa03c1966</x:v>
      </x:c>
      <x:c r="Q95" s="13" t="str">
        <x:v>https://mail.google.com/mail/#all/19dbd05fa03c1966</x:v>
      </x:c>
    </x:row>
    <x:row r="96">
      <x:c r="A96" s="11" t="n">
        <x:v>46136</x:v>
      </x:c>
      <x:c r="B96" s="12" t="str">
        <x:v>14:04:23</x:v>
      </x:c>
      <x:c r="C96" s="12" t="str">
        <x:v>Apr 2026</x:v>
      </x:c>
      <x:c r="D96" s="12" t="str">
        <x:v>Transfer Berhasil</x:v>
      </x:c>
      <x:c r="E96" s="12" t="str">
        <x:v>OLIB FELIX ANDIKA AR</x:v>
      </x:c>
      <x:c r="F96" s="12" t="str">
        <x:v>Transfer ke Orang</x:v>
      </x:c>
      <x:c r="G96" s="12" t="str">
        <x:v>Transfer orang</x:v>
      </x:c>
      <x:c r="H96" s="7" t="n">
        <x:v>10000</x:v>
      </x:c>
      <x:c r="I96" s="7" t="n">
        <x:v>0</x:v>
      </x:c>
      <x:c r="J96" s="7" t="n">
        <x:v>10000</x:v>
      </x:c>
      <x:c r="K96" s="12" t="str">
        <x:v>Berhasil</x:v>
      </x:c>
      <x:c r="L96" s="12" t="str">
        <x:v>Ya</x:v>
      </x:c>
      <x:c r="M96" s="12" t="str">
        <x:v>Ya</x:v>
      </x:c>
      <x:c r="N96" s="12" t="str">
        <x:v>Normal</x:v>
      </x:c>
      <x:c r="O96" s="12" t="str">
        <x:v>Transfer QR</x:v>
      </x:c>
      <x:c r="P96" s="12" t="str">
        <x:v>19dbe4e1b725d205</x:v>
      </x:c>
      <x:c r="Q96" s="13" t="str">
        <x:v>https://mail.google.com/mail/#all/19dbe4e1b725d205</x:v>
      </x:c>
    </x:row>
    <x:row r="97">
      <x:c r="A97" s="11" t="n">
        <x:v>46136</x:v>
      </x:c>
      <x:c r="B97" s="12" t="str">
        <x:v>14:05:30</x:v>
      </x:c>
      <x:c r="C97" s="12" t="str">
        <x:v>Apr 2026</x:v>
      </x:c>
      <x:c r="D97" s="12" t="str">
        <x:v>Transfer Berhasil</x:v>
      </x:c>
      <x:c r="E97" s="12" t="str">
        <x:v>JULIA MENTARI</x:v>
      </x:c>
      <x:c r="F97" s="12" t="str">
        <x:v>Transfer ke Orang</x:v>
      </x:c>
      <x:c r="G97" s="12" t="str">
        <x:v>Transfer orang</x:v>
      </x:c>
      <x:c r="H97" s="7" t="n">
        <x:v>7000</x:v>
      </x:c>
      <x:c r="I97" s="7" t="n">
        <x:v>0</x:v>
      </x:c>
      <x:c r="J97" s="7" t="n">
        <x:v>7000</x:v>
      </x:c>
      <x:c r="K97" s="12" t="str">
        <x:v>Berhasil</x:v>
      </x:c>
      <x:c r="L97" s="12" t="str">
        <x:v>Ya</x:v>
      </x:c>
      <x:c r="M97" s="12" t="str">
        <x:v>Ya</x:v>
      </x:c>
      <x:c r="N97" s="12" t="str">
        <x:v>Normal</x:v>
      </x:c>
      <x:c r="O97" s="12" t="str">
        <x:v>Transfer QR</x:v>
      </x:c>
      <x:c r="P97" s="12" t="str">
        <x:v>19dbe4f138ff8e46</x:v>
      </x:c>
      <x:c r="Q97" s="13" t="str">
        <x:v>https://mail.google.com/mail/#all/19dbe4f138ff8e46</x:v>
      </x:c>
    </x:row>
    <x:row r="98">
      <x:c r="A98" s="11" t="n">
        <x:v>46137</x:v>
      </x:c>
      <x:c r="B98" s="12" t="str">
        <x:v>15:29:41</x:v>
      </x:c>
      <x:c r="C98" s="12" t="str">
        <x:v>Apr 2026</x:v>
      </x:c>
      <x:c r="D98" s="12" t="str">
        <x:v>Pembayaran Berhasil!</x:v>
      </x:c>
      <x:c r="E98" s="12" t="str">
        <x:v>NELAYAN SHANGHAI KAFE</x:v>
      </x:c>
      <x:c r="F98" s="12" t="str">
        <x:v>Makan &amp; Minum</x:v>
      </x:c>
      <x:c r="G98" s="12" t="str">
        <x:v>Makanan/minuman</x:v>
      </x:c>
      <x:c r="H98" s="7" t="n">
        <x:v>504900</x:v>
      </x:c>
      <x:c r="I98" s="7" t="n">
        <x:v>0</x:v>
      </x:c>
      <x:c r="J98" s="7" t="n">
        <x:v>504900</x:v>
      </x:c>
      <x:c r="K98" s="12" t="str">
        <x:v>Berhasil</x:v>
      </x:c>
      <x:c r="L98" s="12" t="str">
        <x:v>Ya</x:v>
      </x:c>
      <x:c r="M98" s="12" t="str">
        <x:v>Ya</x:v>
      </x:c>
      <x:c r="N98" s="12" t="str">
        <x:v>Review</x:v>
      </x:c>
      <x:c r="O98" s="12" t="str">
        <x:v>QRIS</x:v>
      </x:c>
      <x:c r="P98" s="12" t="str">
        <x:v>19dc3c27dd18bcf5</x:v>
      </x:c>
      <x:c r="Q98" s="13" t="str">
        <x:v>https://mail.google.com/mail/#all/19dc3c27dd18bcf5</x:v>
      </x:c>
    </x:row>
    <x:row r="99">
      <x:c r="A99" s="11" t="n">
        <x:v>46137</x:v>
      </x:c>
      <x:c r="B99" s="12" t="str">
        <x:v>17:04:11</x:v>
      </x:c>
      <x:c r="C99" s="12" t="str">
        <x:v>Apr 2026</x:v>
      </x:c>
      <x:c r="D99" s="12" t="str">
        <x:v>Pembayaran Berhasil!</x:v>
      </x:c>
      <x:c r="E99" s="12" t="str">
        <x:v>TOKO OBAT KARUNIA FARMA</x:v>
      </x:c>
      <x:c r="F99" s="12" t="str">
        <x:v>Kesehatan &amp; Obat</x:v>
      </x:c>
      <x:c r="G99" s="12" t="str">
        <x:v>Obat/apotek</x:v>
      </x:c>
      <x:c r="H99" s="7" t="n">
        <x:v>30000</x:v>
      </x:c>
      <x:c r="I99" s="7" t="n">
        <x:v>0</x:v>
      </x:c>
      <x:c r="J99" s="7" t="n">
        <x:v>30000</x:v>
      </x:c>
      <x:c r="K99" s="12" t="str">
        <x:v>Berhasil</x:v>
      </x:c>
      <x:c r="L99" s="12" t="str">
        <x:v>Ya</x:v>
      </x:c>
      <x:c r="M99" s="12" t="str">
        <x:v>Ya</x:v>
      </x:c>
      <x:c r="N99" s="12" t="str">
        <x:v>Normal</x:v>
      </x:c>
      <x:c r="O99" s="12" t="str">
        <x:v>QRIS</x:v>
      </x:c>
      <x:c r="P99" s="12" t="str">
        <x:v>19dc418f19852838</x:v>
      </x:c>
      <x:c r="Q99" s="13" t="str">
        <x:v>https://mail.google.com/mail/#all/19dc418f19852838</x:v>
      </x:c>
    </x:row>
    <x:row r="100">
      <x:c r="A100" s="11" t="n">
        <x:v>46141</x:v>
      </x:c>
      <x:c r="B100" s="12" t="str">
        <x:v>08:41:56</x:v>
      </x:c>
      <x:c r="C100" s="12" t="str">
        <x:v>Apr 2026</x:v>
      </x:c>
      <x:c r="D100" s="12" t="str">
        <x:v>Transfer Berhasil</x:v>
      </x:c>
      <x:c r="E100" s="12" t="str">
        <x:v>JESSICA EVANGELI</x:v>
      </x:c>
      <x:c r="F100" s="12" t="str">
        <x:v>Transfer ke Orang</x:v>
      </x:c>
      <x:c r="G100" s="12" t="str">
        <x:v>Transfer orang</x:v>
      </x:c>
      <x:c r="H100" s="7" t="n">
        <x:v>24000</x:v>
      </x:c>
      <x:c r="I100" s="7" t="n">
        <x:v>0</x:v>
      </x:c>
      <x:c r="J100" s="7" t="n">
        <x:v>24000</x:v>
      </x:c>
      <x:c r="K100" s="12" t="str">
        <x:v>Berhasil</x:v>
      </x:c>
      <x:c r="L100" s="12" t="str">
        <x:v>Ya</x:v>
      </x:c>
      <x:c r="M100" s="12" t="str">
        <x:v>Ya</x:v>
      </x:c>
      <x:c r="N100" s="12" t="str">
        <x:v>Normal</x:v>
      </x:c>
      <x:c r="O100" s="12" t="str">
        <x:v>Transfer</x:v>
      </x:c>
      <x:c r="P100" s="12" t="str">
        <x:v>19dd6e66a55b0f2f</x:v>
      </x:c>
      <x:c r="Q100" s="13" t="str">
        <x:v>https://mail.google.com/mail/#all/19dd6e66a55b0f2f</x:v>
      </x:c>
    </x:row>
    <x:row r="101">
      <x:c r="A101" s="11" t="n">
        <x:v>46141</x:v>
      </x:c>
      <x:c r="B101" s="12" t="str">
        <x:v>17:13:13</x:v>
      </x:c>
      <x:c r="C101" s="12" t="str">
        <x:v>Apr 2026</x:v>
      </x:c>
      <x:c r="D101" s="12" t="str">
        <x:v>Pembayaran Berhasil!</x:v>
      </x:c>
      <x:c r="E101" s="12" t="str">
        <x:v>Coda Payments</x:v>
      </x:c>
      <x:c r="F101" s="12" t="str">
        <x:v>Digital, Gaming &amp; Aplikasi</x:v>
      </x:c>
      <x:c r="G101" s="12" t="str">
        <x:v>Coda Payments</x:v>
      </x:c>
      <x:c r="H101" s="7" t="n">
        <x:v>158175</x:v>
      </x:c>
      <x:c r="I101" s="7" t="n">
        <x:v>0</x:v>
      </x:c>
      <x:c r="J101" s="7" t="n">
        <x:v>158175</x:v>
      </x:c>
      <x:c r="K101" s="12" t="str">
        <x:v>Berhasil</x:v>
      </x:c>
      <x:c r="L101" s="12" t="str">
        <x:v>Ya</x:v>
      </x:c>
      <x:c r="M101" s="12" t="str">
        <x:v>Ya</x:v>
      </x:c>
      <x:c r="N101" s="12" t="str">
        <x:v>Normal</x:v>
      </x:c>
      <x:c r="O101" s="12" t="str">
        <x:v>QRIS</x:v>
      </x:c>
      <x:c r="P101" s="12" t="str">
        <x:v>19dd8bab00b00f4d</x:v>
      </x:c>
      <x:c r="Q101" s="13" t="str">
        <x:v>https://mail.google.com/mail/#all/19dd8bab00b00f4d</x:v>
      </x:c>
    </x:row>
    <x:row r="102">
      <x:c r="A102" s="11" t="n">
        <x:v>46141</x:v>
      </x:c>
      <x:c r="B102" s="12" t="str">
        <x:v>22:04:09</x:v>
      </x:c>
      <x:c r="C102" s="12" t="str">
        <x:v>Apr 2026</x:v>
      </x:c>
      <x:c r="D102" s="12" t="str">
        <x:v>Pembayaran Berhasil!</x:v>
      </x:c>
      <x:c r="E102" s="12" t="str">
        <x:v>PT Tokopedia Jakarta Selatan</x:v>
      </x:c>
      <x:c r="F102" s="12" t="str">
        <x:v>Belanja Harian/Retail</x:v>
      </x:c>
      <x:c r="G102" s="12" t="str">
        <x:v>Belanja online</x:v>
      </x:c>
      <x:c r="H102" s="7" t="n">
        <x:v>263388</x:v>
      </x:c>
      <x:c r="I102" s="7" t="n">
        <x:v>0</x:v>
      </x:c>
      <x:c r="J102" s="7" t="n">
        <x:v>263388</x:v>
      </x:c>
      <x:c r="K102" s="12" t="str">
        <x:v>Berhasil</x:v>
      </x:c>
      <x:c r="L102" s="12" t="str">
        <x:v>Ya</x:v>
      </x:c>
      <x:c r="M102" s="12" t="str">
        <x:v>Ya</x:v>
      </x:c>
      <x:c r="N102" s="12" t="str">
        <x:v>Normal</x:v>
      </x:c>
      <x:c r="O102" s="12" t="str">
        <x:v>QRIS</x:v>
      </x:c>
      <x:c r="P102" s="12" t="str">
        <x:v>19dd9c50eb71061c</x:v>
      </x:c>
      <x:c r="Q102" s="13" t="str">
        <x:v>https://mail.google.com/mail/#all/19dd9c50eb71061c</x:v>
      </x:c>
    </x:row>
    <x:row r="103">
      <x:c r="A103" s="11" t="n">
        <x:v>46141</x:v>
      </x:c>
      <x:c r="B103" s="12" t="str">
        <x:v>22:05:36</x:v>
      </x:c>
      <x:c r="C103" s="12" t="str">
        <x:v>Apr 2026</x:v>
      </x:c>
      <x:c r="D103" s="12" t="str">
        <x:v>Pembayaran Berhasil!</x:v>
      </x:c>
      <x:c r="E103" s="12" t="str">
        <x:v>Gopay Payment 60739081370309604</x:v>
      </x:c>
      <x:c r="F103" s="12" t="str">
        <x:v>Dompet Digital &amp; Aggregator</x:v>
      </x:c>
      <x:c r="G103" s="12" t="str">
        <x:v>GoPay Payment</x:v>
      </x:c>
      <x:c r="H103" s="7" t="n">
        <x:v>500000</x:v>
      </x:c>
      <x:c r="I103" s="7" t="n">
        <x:v>0</x:v>
      </x:c>
      <x:c r="J103" s="7" t="n">
        <x:v>500000</x:v>
      </x:c>
      <x:c r="K103" s="12" t="str">
        <x:v>Berhasil</x:v>
      </x:c>
      <x:c r="L103" s="12" t="str">
        <x:v>Ya</x:v>
      </x:c>
      <x:c r="M103" s="12" t="str">
        <x:v>Ya</x:v>
      </x:c>
      <x:c r="N103" s="12" t="str">
        <x:v>Perlu breakdown wallet</x:v>
      </x:c>
      <x:c r="O103" s="12" t="str">
        <x:v>Aggregator payment</x:v>
      </x:c>
      <x:c r="P103" s="12" t="str">
        <x:v>19dd9c661211b442</x:v>
      </x:c>
      <x:c r="Q103" s="13" t="str">
        <x:v>https://mail.google.com/mail/#all/19dd9c661211b442</x:v>
      </x:c>
    </x:row>
    <x:row r="104">
      <x:c r="A104" s="11" t="n">
        <x:v>46141</x:v>
      </x:c>
      <x:c r="B104" s="12" t="str">
        <x:v>22:08:43</x:v>
      </x:c>
      <x:c r="C104" s="12" t="str">
        <x:v>Apr 2026</x:v>
      </x:c>
      <x:c r="D104" s="12" t="str">
        <x:v>Pembayaran Berhasil!</x:v>
      </x:c>
      <x:c r="E104" s="12" t="str">
        <x:v>Gopay Payment 60739081370309604</x:v>
      </x:c>
      <x:c r="F104" s="12" t="str">
        <x:v>Dompet Digital &amp; Aggregator</x:v>
      </x:c>
      <x:c r="G104" s="12" t="str">
        <x:v>GoPay Payment</x:v>
      </x:c>
      <x:c r="H104" s="7" t="n">
        <x:v>398623</x:v>
      </x:c>
      <x:c r="I104" s="7" t="n">
        <x:v>0</x:v>
      </x:c>
      <x:c r="J104" s="7" t="n">
        <x:v>398623</x:v>
      </x:c>
      <x:c r="K104" s="12" t="str">
        <x:v>Berhasil</x:v>
      </x:c>
      <x:c r="L104" s="12" t="str">
        <x:v>Ya</x:v>
      </x:c>
      <x:c r="M104" s="12" t="str">
        <x:v>Ya</x:v>
      </x:c>
      <x:c r="N104" s="12" t="str">
        <x:v>Perlu breakdown wallet</x:v>
      </x:c>
      <x:c r="O104" s="12" t="str">
        <x:v>Aggregator payment</x:v>
      </x:c>
      <x:c r="P104" s="12" t="str">
        <x:v>19dd9c93fdca1bb2</x:v>
      </x:c>
      <x:c r="Q104" s="13" t="str">
        <x:v>https://mail.google.com/mail/#all/19dd9c93fdca1bb2</x:v>
      </x:c>
    </x:row>
    <x:row r="105">
      <x:c r="A105" s="11" t="n">
        <x:v>46141</x:v>
      </x:c>
      <x:c r="B105" s="12" t="str">
        <x:v>22:09:47</x:v>
      </x:c>
      <x:c r="C105" s="12" t="str">
        <x:v>Apr 2026</x:v>
      </x:c>
      <x:c r="D105" s="12" t="str">
        <x:v>Pembayaran Berhasil!</x:v>
      </x:c>
      <x:c r="E105" s="12" t="str">
        <x:v>Gopay Payment 60739081370309604</x:v>
      </x:c>
      <x:c r="F105" s="12" t="str">
        <x:v>Dompet Digital &amp; Aggregator</x:v>
      </x:c>
      <x:c r="G105" s="12" t="str">
        <x:v>GoPay Payment</x:v>
      </x:c>
      <x:c r="H105" s="7" t="n">
        <x:v>146400</x:v>
      </x:c>
      <x:c r="I105" s="7" t="n">
        <x:v>0</x:v>
      </x:c>
      <x:c r="J105" s="7" t="n">
        <x:v>146400</x:v>
      </x:c>
      <x:c r="K105" s="12" t="str">
        <x:v>Berhasil</x:v>
      </x:c>
      <x:c r="L105" s="12" t="str">
        <x:v>Ya</x:v>
      </x:c>
      <x:c r="M105" s="12" t="str">
        <x:v>Ya</x:v>
      </x:c>
      <x:c r="N105" s="12" t="str">
        <x:v>Perlu breakdown wallet</x:v>
      </x:c>
      <x:c r="O105" s="12" t="str">
        <x:v>Aggregator payment</x:v>
      </x:c>
      <x:c r="P105" s="12" t="str">
        <x:v>19dd9ca38f1ef211</x:v>
      </x:c>
      <x:c r="Q105" s="13" t="str">
        <x:v>https://mail.google.com/mail/#all/19dd9ca38f1ef211</x:v>
      </x:c>
    </x:row>
    <x:row r="106">
      <x:c r="A106" s="11" t="n">
        <x:v>46142</x:v>
      </x:c>
      <x:c r="B106" s="12" t="str">
        <x:v>13:24:15</x:v>
      </x:c>
      <x:c r="C106" s="12" t="str">
        <x:v>Apr 2026</x:v>
      </x:c>
      <x:c r="D106" s="12" t="str">
        <x:v>Pembayaran Berhasil!</x:v>
      </x:c>
      <x:c r="E106" s="12" t="str">
        <x:v>Gopay Payment 60739081370309604</x:v>
      </x:c>
      <x:c r="F106" s="12" t="str">
        <x:v>Dompet Digital &amp; Aggregator</x:v>
      </x:c>
      <x:c r="G106" s="12" t="str">
        <x:v>GoPay Payment</x:v>
      </x:c>
      <x:c r="H106" s="7" t="n">
        <x:v>3398144</x:v>
      </x:c>
      <x:c r="I106" s="7" t="n">
        <x:v>0</x:v>
      </x:c>
      <x:c r="J106" s="7" t="n">
        <x:v>3398144</x:v>
      </x:c>
      <x:c r="K106" s="12" t="str">
        <x:v>Berhasil</x:v>
      </x:c>
      <x:c r="L106" s="12" t="str">
        <x:v>Ya</x:v>
      </x:c>
      <x:c r="M106" s="12" t="str">
        <x:v>Ya</x:v>
      </x:c>
      <x:c r="N106" s="12" t="str">
        <x:v>High review</x:v>
      </x:c>
      <x:c r="O106" s="12" t="str">
        <x:v>Aggregator payment</x:v>
      </x:c>
      <x:c r="P106" s="12" t="str">
        <x:v>19ddd0f69a3e4b5a</x:v>
      </x:c>
      <x:c r="Q106" s="13" t="str">
        <x:v>https://mail.google.com/mail/#all/19ddd0f69a3e4b5a</x:v>
      </x:c>
    </x:row>
    <x:row r="107">
      <x:c r="A107" s="11" t="n">
        <x:v>46142</x:v>
      </x:c>
      <x:c r="B107" s="12" t="str">
        <x:v>18:39:09</x:v>
      </x:c>
      <x:c r="C107" s="12" t="str">
        <x:v>Apr 2026</x:v>
      </x:c>
      <x:c r="D107" s="12" t="str">
        <x:v>Transfer Berhasil</x:v>
      </x:c>
      <x:c r="E107" s="12" t="str">
        <x:v>MUHAMMAD RIDHO FEBRI</x:v>
      </x:c>
      <x:c r="F107" s="12" t="str">
        <x:v>Transfer ke Orang</x:v>
      </x:c>
      <x:c r="G107" s="12" t="str">
        <x:v>Transfer orang</x:v>
      </x:c>
      <x:c r="H107" s="7" t="n">
        <x:v>33000</x:v>
      </x:c>
      <x:c r="I107" s="7" t="n">
        <x:v>0</x:v>
      </x:c>
      <x:c r="J107" s="7" t="n">
        <x:v>33000</x:v>
      </x:c>
      <x:c r="K107" s="12" t="str">
        <x:v>Berhasil</x:v>
      </x:c>
      <x:c r="L107" s="12" t="str">
        <x:v>Ya</x:v>
      </x:c>
      <x:c r="M107" s="12" t="str">
        <x:v>Ya</x:v>
      </x:c>
      <x:c r="N107" s="12" t="str">
        <x:v>Normal</x:v>
      </x:c>
      <x:c r="O107" s="12" t="str">
        <x:v>Transfer</x:v>
      </x:c>
      <x:c r="P107" s="12" t="str">
        <x:v>19dde2fd48aa612d</x:v>
      </x:c>
      <x:c r="Q107" s="13" t="str">
        <x:v>https://mail.google.com/mail/#all/19dde2fd48aa612d</x:v>
      </x:c>
    </x:row>
    <x:row r="108">
      <x:c r="A108" s="11" t="n">
        <x:v>46144</x:v>
      </x:c>
      <x:c r="B108" s="12" t="str">
        <x:v>10:14:57</x:v>
      </x:c>
      <x:c r="C108" s="12" t="str">
        <x:v>May 2026</x:v>
      </x:c>
      <x:c r="D108" s="12" t="str">
        <x:v>Transfer dengan BI Fast Berhasil</x:v>
      </x:c>
      <x:c r="E108" s="12" t="str">
        <x:v>JOICE MELATI H - Bank Negara Indonesia</x:v>
      </x:c>
      <x:c r="F108" s="12" t="str">
        <x:v>Transfer ke Orang</x:v>
      </x:c>
      <x:c r="G108" s="12" t="str">
        <x:v>Transfer orang</x:v>
      </x:c>
      <x:c r="H108" s="7" t="n">
        <x:v>232000</x:v>
      </x:c>
      <x:c r="I108" s="7" t="n">
        <x:v>2500</x:v>
      </x:c>
      <x:c r="J108" s="7" t="n">
        <x:v>234500</x:v>
      </x:c>
      <x:c r="K108" s="12" t="str">
        <x:v>Berhasil</x:v>
      </x:c>
      <x:c r="L108" s="12" t="str">
        <x:v>Ya</x:v>
      </x:c>
      <x:c r="M108" s="12" t="str">
        <x:v>Ya</x:v>
      </x:c>
      <x:c r="N108" s="12" t="str">
        <x:v>Normal</x:v>
      </x:c>
      <x:c r="O108" s="12" t="str">
        <x:v>Transfer BI Fast</x:v>
      </x:c>
      <x:c r="P108" s="12" t="str">
        <x:v>19de6aec9c33ba4c</x:v>
      </x:c>
      <x:c r="Q108" s="13" t="str">
        <x:v>https://mail.google.com/mail/#all/19de6aec9c33ba4c</x:v>
      </x:c>
    </x:row>
    <x:row r="109">
      <x:c r="A109" s="11" t="n">
        <x:v>46144</x:v>
      </x:c>
      <x:c r="B109" s="12" t="str">
        <x:v>19:25:15</x:v>
      </x:c>
      <x:c r="C109" s="12" t="str">
        <x:v>May 2026</x:v>
      </x:c>
      <x:c r="D109" s="12" t="str">
        <x:v>Pembayaran Berhasil!</x:v>
      </x:c>
      <x:c r="E109" s="12" t="str">
        <x:v>RICHEESE FACTORY</x:v>
      </x:c>
      <x:c r="F109" s="12" t="str">
        <x:v>Makan &amp; Minum</x:v>
      </x:c>
      <x:c r="G109" s="12" t="str">
        <x:v>Makanan/minuman</x:v>
      </x:c>
      <x:c r="H109" s="7" t="n">
        <x:v>93500</x:v>
      </x:c>
      <x:c r="I109" s="7" t="n">
        <x:v>0</x:v>
      </x:c>
      <x:c r="J109" s="7" t="n">
        <x:v>93500</x:v>
      </x:c>
      <x:c r="K109" s="12" t="str">
        <x:v>Berhasil</x:v>
      </x:c>
      <x:c r="L109" s="12" t="str">
        <x:v>Ya</x:v>
      </x:c>
      <x:c r="M109" s="12" t="str">
        <x:v>Ya</x:v>
      </x:c>
      <x:c r="N109" s="12" t="str">
        <x:v>Normal</x:v>
      </x:c>
      <x:c r="O109" s="12" t="str">
        <x:v>QRIS</x:v>
      </x:c>
      <x:c r="P109" s="12" t="str">
        <x:v>19de8a69a1c9b4a5</x:v>
      </x:c>
      <x:c r="Q109" s="13" t="str">
        <x:v>https://mail.google.com/mail/#all/19de8a69a1c9b4a5</x:v>
      </x:c>
    </x:row>
    <x:row r="110">
      <x:c r="A110" s="11" t="n">
        <x:v>46147</x:v>
      </x:c>
      <x:c r="B110" s="12" t="str">
        <x:v>16:33:04</x:v>
      </x:c>
      <x:c r="C110" s="12" t="str">
        <x:v>May 2026</x:v>
      </x:c>
      <x:c r="D110" s="12" t="str">
        <x:v>Transfer Berhasil</x:v>
      </x:c>
      <x:c r="E110" s="12" t="str">
        <x:v>JESSICA EVANGELI</x:v>
      </x:c>
      <x:c r="F110" s="12" t="str">
        <x:v>Transfer ke Orang</x:v>
      </x:c>
      <x:c r="G110" s="12" t="str">
        <x:v>Transfer orang</x:v>
      </x:c>
      <x:c r="H110" s="7" t="n">
        <x:v>51000</x:v>
      </x:c>
      <x:c r="I110" s="7" t="n">
        <x:v>0</x:v>
      </x:c>
      <x:c r="J110" s="7" t="n">
        <x:v>51000</x:v>
      </x:c>
      <x:c r="K110" s="12" t="str">
        <x:v>Berhasil</x:v>
      </x:c>
      <x:c r="L110" s="12" t="str">
        <x:v>Ya</x:v>
      </x:c>
      <x:c r="M110" s="12" t="str">
        <x:v>Ya</x:v>
      </x:c>
      <x:c r="N110" s="12" t="str">
        <x:v>Normal</x:v>
      </x:c>
      <x:c r="O110" s="12" t="str">
        <x:v>Transfer</x:v>
      </x:c>
      <x:c r="P110" s="12" t="str">
        <x:v>19df77c04b18229f</x:v>
      </x:c>
      <x:c r="Q110" s="13" t="str">
        <x:v>https://mail.google.com/mail/#all/19df77c04b18229f</x:v>
      </x:c>
    </x:row>
    <x:row r="111">
      <x:c r="A111" s="11" t="n">
        <x:v>46148</x:v>
      </x:c>
      <x:c r="B111" s="12" t="str">
        <x:v>07:08:24</x:v>
      </x:c>
      <x:c r="C111" s="12" t="str">
        <x:v>May 2026</x:v>
      </x:c>
      <x:c r="D111" s="12" t="str">
        <x:v>Transfer dengan BI Fast Berhasil</x:v>
      </x:c>
      <x:c r="E111" s="12" t="str">
        <x:v>JOICE MELATI H - Bank Negara Indonesia</x:v>
      </x:c>
      <x:c r="F111" s="12" t="str">
        <x:v>Transfer ke Orang</x:v>
      </x:c>
      <x:c r="G111" s="12" t="str">
        <x:v>Transfer orang</x:v>
      </x:c>
      <x:c r="H111" s="7" t="n">
        <x:v>350000</x:v>
      </x:c>
      <x:c r="I111" s="7" t="n">
        <x:v>2500</x:v>
      </x:c>
      <x:c r="J111" s="7" t="n">
        <x:v>352500</x:v>
      </x:c>
      <x:c r="K111" s="12" t="str">
        <x:v>Berhasil</x:v>
      </x:c>
      <x:c r="L111" s="12" t="str">
        <x:v>Ya</x:v>
      </x:c>
      <x:c r="M111" s="12" t="str">
        <x:v>Ya</x:v>
      </x:c>
      <x:c r="N111" s="12" t="str">
        <x:v>Normal</x:v>
      </x:c>
      <x:c r="O111" s="12" t="str">
        <x:v>Transfer BI Fast</x:v>
      </x:c>
      <x:c r="P111" s="12" t="str">
        <x:v>19dfa9d621527ce2</x:v>
      </x:c>
      <x:c r="Q111" s="13" t="str">
        <x:v>https://mail.google.com/mail/#all/19dfa9d621527ce2</x:v>
      </x:c>
    </x:row>
    <x:row r="112">
      <x:c r="A112" s="11" t="n">
        <x:v>46148</x:v>
      </x:c>
      <x:c r="B112" s="12" t="str">
        <x:v>12:49:29</x:v>
      </x:c>
      <x:c r="C112" s="12" t="str">
        <x:v>May 2026</x:v>
      </x:c>
      <x:c r="D112" s="12" t="str">
        <x:v>Transfer Berhasil</x:v>
      </x:c>
      <x:c r="E112" s="12" t="str">
        <x:v>MUHAMMAD RIDHO FEBRI</x:v>
      </x:c>
      <x:c r="F112" s="12" t="str">
        <x:v>Transfer ke Orang</x:v>
      </x:c>
      <x:c r="G112" s="12" t="str">
        <x:v>Transfer orang</x:v>
      </x:c>
      <x:c r="H112" s="7" t="n">
        <x:v>8000</x:v>
      </x:c>
      <x:c r="I112" s="7" t="n">
        <x:v>0</x:v>
      </x:c>
      <x:c r="J112" s="7" t="n">
        <x:v>8000</x:v>
      </x:c>
      <x:c r="K112" s="12" t="str">
        <x:v>Berhasil</x:v>
      </x:c>
      <x:c r="L112" s="12" t="str">
        <x:v>Ya</x:v>
      </x:c>
      <x:c r="M112" s="12" t="str">
        <x:v>Ya</x:v>
      </x:c>
      <x:c r="N112" s="12" t="str">
        <x:v>Normal</x:v>
      </x:c>
      <x:c r="O112" s="12" t="str">
        <x:v>Transfer</x:v>
      </x:c>
      <x:c r="P112" s="12" t="str">
        <x:v>19dfbd59ff19d64a</x:v>
      </x:c>
      <x:c r="Q112" s="13" t="str">
        <x:v>https://mail.google.com/mail/#all/19dfbd59ff19d64a</x:v>
      </x:c>
    </x:row>
    <x:row r="113">
      <x:c r="A113" s="11" t="n">
        <x:v>46148</x:v>
      </x:c>
      <x:c r="B113" s="12" t="str">
        <x:v>18:35:51</x:v>
      </x:c>
      <x:c r="C113" s="12" t="str">
        <x:v>May 2026</x:v>
      </x:c>
      <x:c r="D113" s="12" t="str">
        <x:v>Pembayaran Berhasil!</x:v>
      </x:c>
      <x:c r="E113" s="12" t="str">
        <x:v>SPBU 14.2021119,SUTOMO</x:v>
      </x:c>
      <x:c r="F113" s="12" t="str">
        <x:v>Transportasi &amp; BBM</x:v>
      </x:c>
      <x:c r="G113" s="12" t="str">
        <x:v>BBM</x:v>
      </x:c>
      <x:c r="H113" s="7" t="n">
        <x:v>39560</x:v>
      </x:c>
      <x:c r="I113" s="7" t="n">
        <x:v>0</x:v>
      </x:c>
      <x:c r="J113" s="7" t="n">
        <x:v>39560</x:v>
      </x:c>
      <x:c r="K113" s="12" t="str">
        <x:v>Berhasil</x:v>
      </x:c>
      <x:c r="L113" s="12" t="str">
        <x:v>Ya</x:v>
      </x:c>
      <x:c r="M113" s="12" t="str">
        <x:v>Ya</x:v>
      </x:c>
      <x:c r="N113" s="12" t="str">
        <x:v>Normal</x:v>
      </x:c>
      <x:c r="O113" s="12" t="str">
        <x:v>QRIS</x:v>
      </x:c>
      <x:c r="P113" s="12" t="str">
        <x:v>19dfd12d601ff41e</x:v>
      </x:c>
      <x:c r="Q113" s="13" t="str">
        <x:v>https://mail.google.com/mail/#all/19dfd12d601ff41e</x:v>
      </x:c>
    </x:row>
    <x:row r="114">
      <x:c r="A114" s="11" t="n">
        <x:v>46148</x:v>
      </x:c>
      <x:c r="B114" s="12" t="str">
        <x:v>19:36:46</x:v>
      </x:c>
      <x:c r="C114" s="12" t="str">
        <x:v>May 2026</x:v>
      </x:c>
      <x:c r="D114" s="12" t="str">
        <x:v>Pembayaran Berhasil!</x:v>
      </x:c>
      <x:c r="E114" s="12" t="str">
        <x:v>ALGO MEDAN - QRIS</x:v>
      </x:c>
      <x:c r="F114" s="12" t="str">
        <x:v>Belanja Harian/Retail</x:v>
      </x:c>
      <x:c r="G114" s="12" t="str">
        <x:v>Retail/minimarket</x:v>
      </x:c>
      <x:c r="H114" s="7" t="n">
        <x:v>164900</x:v>
      </x:c>
      <x:c r="I114" s="7" t="n">
        <x:v>0</x:v>
      </x:c>
      <x:c r="J114" s="7" t="n">
        <x:v>164900</x:v>
      </x:c>
      <x:c r="K114" s="12" t="str">
        <x:v>Berhasil</x:v>
      </x:c>
      <x:c r="L114" s="12" t="str">
        <x:v>Ya</x:v>
      </x:c>
      <x:c r="M114" s="12" t="str">
        <x:v>Ya</x:v>
      </x:c>
      <x:c r="N114" s="12" t="str">
        <x:v>Normal</x:v>
      </x:c>
      <x:c r="O114" s="12" t="str">
        <x:v>QRIS</x:v>
      </x:c>
      <x:c r="P114" s="12" t="str">
        <x:v>19dfd4a9a3f91a1b</x:v>
      </x:c>
      <x:c r="Q114" s="13" t="str">
        <x:v>https://mail.google.com/mail/#all/19dfd4a9a3f91a1b</x:v>
      </x:c>
    </x:row>
    <x:row r="115">
      <x:c r="A115" s="11" t="n">
        <x:v>46149</x:v>
      </x:c>
      <x:c r="B115" s="12" t="str">
        <x:v>16:30:13</x:v>
      </x:c>
      <x:c r="C115" s="12" t="str">
        <x:v>May 2026</x:v>
      </x:c>
      <x:c r="D115" s="12" t="str">
        <x:v>Transfer Berhasil</x:v>
      </x:c>
      <x:c r="E115" s="12" t="str">
        <x:v>MERLYN SUWARNI</x:v>
      </x:c>
      <x:c r="F115" s="12" t="str">
        <x:v>Transfer ke Orang</x:v>
      </x:c>
      <x:c r="G115" s="12" t="str">
        <x:v>Transfer orang</x:v>
      </x:c>
      <x:c r="H115" s="7" t="n">
        <x:v>30000</x:v>
      </x:c>
      <x:c r="I115" s="7" t="n">
        <x:v>0</x:v>
      </x:c>
      <x:c r="J115" s="7" t="n">
        <x:v>30000</x:v>
      </x:c>
      <x:c r="K115" s="12" t="str">
        <x:v>Berhasil</x:v>
      </x:c>
      <x:c r="L115" s="12" t="str">
        <x:v>Ya</x:v>
      </x:c>
      <x:c r="M115" s="12" t="str">
        <x:v>Ya</x:v>
      </x:c>
      <x:c r="N115" s="12" t="str">
        <x:v>Normal</x:v>
      </x:c>
      <x:c r="O115" s="12" t="str">
        <x:v>Transfer</x:v>
      </x:c>
      <x:c r="P115" s="12" t="str">
        <x:v>19e01c60242621cf</x:v>
      </x:c>
      <x:c r="Q115" s="13" t="str">
        <x:v>https://mail.google.com/mail/#all/19e01c60242621cf</x:v>
      </x:c>
    </x:row>
    <x:row r="116">
      <x:c r="A116" s="11" t="n">
        <x:v>46149</x:v>
      </x:c>
      <x:c r="B116" s="12" t="str">
        <x:v>17:43:53</x:v>
      </x:c>
      <x:c r="C116" s="12" t="str">
        <x:v>May 2026</x:v>
      </x:c>
      <x:c r="D116" s="12" t="str">
        <x:v>Transfer dengan BI Fast Berhasil</x:v>
      </x:c>
      <x:c r="E116" s="12" t="str">
        <x:v>KOK LI - Bank Danamon Indonesia</x:v>
      </x:c>
      <x:c r="F116" s="12" t="str">
        <x:v>Transfer ke Orang</x:v>
      </x:c>
      <x:c r="G116" s="12" t="str">
        <x:v>Transfer orang</x:v>
      </x:c>
      <x:c r="H116" s="7" t="n">
        <x:v>24000</x:v>
      </x:c>
      <x:c r="I116" s="7" t="n">
        <x:v>2500</x:v>
      </x:c>
      <x:c r="J116" s="7" t="n">
        <x:v>26500</x:v>
      </x:c>
      <x:c r="K116" s="12" t="str">
        <x:v>Berhasil</x:v>
      </x:c>
      <x:c r="L116" s="12" t="str">
        <x:v>Ya</x:v>
      </x:c>
      <x:c r="M116" s="12" t="str">
        <x:v>Ya</x:v>
      </x:c>
      <x:c r="N116" s="12" t="str">
        <x:v>Normal</x:v>
      </x:c>
      <x:c r="O116" s="12" t="str">
        <x:v>Transfer BI Fast</x:v>
      </x:c>
      <x:c r="P116" s="12" t="str">
        <x:v>19e0209884a43be2</x:v>
      </x:c>
      <x:c r="Q116" s="13" t="str">
        <x:v>https://mail.google.com/mail/#all/19e0209884a43be2</x:v>
      </x:c>
    </x:row>
    <x:row r="117">
      <x:c r="A117" s="11" t="n">
        <x:v>46149</x:v>
      </x:c>
      <x:c r="B117" s="12" t="str">
        <x:v>17:45:50</x:v>
      </x:c>
      <x:c r="C117" s="12" t="str">
        <x:v>May 2026</x:v>
      </x:c>
      <x:c r="D117" s="12" t="str">
        <x:v>Transfer dengan BI Fast Berhasil</x:v>
      </x:c>
      <x:c r="E117" s="12" t="str">
        <x:v>KOK LI - Bank Danamon Indonesia</x:v>
      </x:c>
      <x:c r="F117" s="12" t="str">
        <x:v>Transfer ke Orang</x:v>
      </x:c>
      <x:c r="G117" s="12" t="str">
        <x:v>Transfer orang</x:v>
      </x:c>
      <x:c r="H117" s="7" t="n">
        <x:v>10000</x:v>
      </x:c>
      <x:c r="I117" s="7" t="n">
        <x:v>2500</x:v>
      </x:c>
      <x:c r="J117" s="7" t="n">
        <x:v>12500</x:v>
      </x:c>
      <x:c r="K117" s="12" t="str">
        <x:v>Berhasil</x:v>
      </x:c>
      <x:c r="L117" s="12" t="str">
        <x:v>Ya</x:v>
      </x:c>
      <x:c r="M117" s="12" t="str">
        <x:v>Ya</x:v>
      </x:c>
      <x:c r="N117" s="12" t="str">
        <x:v>Normal</x:v>
      </x:c>
      <x:c r="O117" s="12" t="str">
        <x:v>Transfer BI Fast</x:v>
      </x:c>
      <x:c r="P117" s="12" t="str">
        <x:v>19e020b4f8cd59c3</x:v>
      </x:c>
      <x:c r="Q117" s="13" t="str">
        <x:v>https://mail.google.com/mail/#all/19e020b4f8cd59c3</x:v>
      </x:c>
    </x:row>
    <x:row r="118">
      <x:c r="A118" s="11" t="n">
        <x:v>46150</x:v>
      </x:c>
      <x:c r="B118" s="12" t="str">
        <x:v>14:23:21</x:v>
      </x:c>
      <x:c r="C118" s="12" t="str">
        <x:v>May 2026</x:v>
      </x:c>
      <x:c r="D118" s="12" t="str">
        <x:v>Pembayaran Berhasil!</x:v>
      </x:c>
      <x:c r="E118" s="12" t="str">
        <x:v>Sbux Cemara Asri Medan</x:v>
      </x:c>
      <x:c r="F118" s="12" t="str">
        <x:v>Makan &amp; Minum</x:v>
      </x:c>
      <x:c r="G118" s="12" t="str">
        <x:v>Makanan/minuman</x:v>
      </x:c>
      <x:c r="H118" s="7" t="n">
        <x:v>145000</x:v>
      </x:c>
      <x:c r="I118" s="7" t="n">
        <x:v>0</x:v>
      </x:c>
      <x:c r="J118" s="7" t="n">
        <x:v>145000</x:v>
      </x:c>
      <x:c r="K118" s="12" t="str">
        <x:v>Berhasil</x:v>
      </x:c>
      <x:c r="L118" s="12" t="str">
        <x:v>Ya</x:v>
      </x:c>
      <x:c r="M118" s="12" t="str">
        <x:v>Ya</x:v>
      </x:c>
      <x:c r="N118" s="12" t="str">
        <x:v>Normal</x:v>
      </x:c>
      <x:c r="O118" s="12" t="str">
        <x:v>QRIS</x:v>
      </x:c>
      <x:c r="P118" s="12" t="str">
        <x:v>19e0678672af9dd3</x:v>
      </x:c>
      <x:c r="Q118" s="13" t="str">
        <x:v>https://mail.google.com/mail/#all/19e0678672af9dd3</x:v>
      </x:c>
    </x:row>
    <x:row r="119">
      <x:c r="A119" s="11" t="n">
        <x:v>46150</x:v>
      </x:c>
      <x:c r="B119" s="12" t="str">
        <x:v>14:24:38</x:v>
      </x:c>
      <x:c r="C119" s="12" t="str">
        <x:v>May 2026</x:v>
      </x:c>
      <x:c r="D119" s="12" t="str">
        <x:v>Transfer dengan BI Fast Berhasil</x:v>
      </x:c>
      <x:c r="E119" s="12" t="str">
        <x:v>SAMUEL ZAKARIA H - Bank Central Asia</x:v>
      </x:c>
      <x:c r="F119" s="12" t="str">
        <x:v>Transfer Diri/Tabungan</x:v>
      </x:c>
      <x:c r="G119" s="12" t="str">
        <x:v>Rekening sendiri</x:v>
      </x:c>
      <x:c r="H119" s="7" t="n">
        <x:v>60000</x:v>
      </x:c>
      <x:c r="I119" s="7" t="n">
        <x:v>2500</x:v>
      </x:c>
      <x:c r="J119" s="7" t="n">
        <x:v>62500</x:v>
      </x:c>
      <x:c r="K119" s="12" t="str">
        <x:v>Berhasil</x:v>
      </x:c>
      <x:c r="L119" s="12" t="str">
        <x:v>Ya</x:v>
      </x:c>
      <x:c r="M119" s="12" t="str">
        <x:v>Tidak</x:v>
      </x:c>
      <x:c r="N119" s="12" t="str">
        <x:v>Bukan konsumsi; cek sebagai tabungan</x:v>
      </x:c>
      <x:c r="O119" s="12" t="str">
        <x:v>Transfer ke rekening sendiri</x:v>
      </x:c>
      <x:c r="P119" s="12" t="str">
        <x:v>19e06796dba24614</x:v>
      </x:c>
      <x:c r="Q119" s="13" t="str">
        <x:v>https://mail.google.com/mail/#all/19e06796dba24614</x:v>
      </x:c>
    </x:row>
    <x:row r="120">
      <x:c r="A120" s="11" t="n">
        <x:v>46155</x:v>
      </x:c>
      <x:c r="B120" s="12" t="str">
        <x:v>14:00:39</x:v>
      </x:c>
      <x:c r="C120" s="12" t="str">
        <x:v>May 2026</x:v>
      </x:c>
      <x:c r="D120" s="12" t="str">
        <x:v>Transfer dengan BI Fast Berhasil</x:v>
      </x:c>
      <x:c r="E120" s="12" t="str">
        <x:v>SAMUEL ZAKARIA H - Krom Bank Indonesia</x:v>
      </x:c>
      <x:c r="F120" s="12" t="str">
        <x:v>Transfer Diri/Tabungan</x:v>
      </x:c>
      <x:c r="G120" s="12" t="str">
        <x:v>Rekening sendiri</x:v>
      </x:c>
      <x:c r="H120" s="7" t="n">
        <x:v>150000</x:v>
      </x:c>
      <x:c r="I120" s="7" t="n">
        <x:v>2500</x:v>
      </x:c>
      <x:c r="J120" s="7" t="n">
        <x:v>152500</x:v>
      </x:c>
      <x:c r="K120" s="12" t="str">
        <x:v>Berhasil</x:v>
      </x:c>
      <x:c r="L120" s="12" t="str">
        <x:v>Ya</x:v>
      </x:c>
      <x:c r="M120" s="12" t="str">
        <x:v>Tidak</x:v>
      </x:c>
      <x:c r="N120" s="12" t="str">
        <x:v>Bukan konsumsi; cek sebagai tabungan</x:v>
      </x:c>
      <x:c r="O120" s="12" t="str">
        <x:v>Transfer ke rekening sendiri</x:v>
      </x:c>
      <x:c r="P120" s="12" t="str">
        <x:v>19e20235eb51160f</x:v>
      </x:c>
      <x:c r="Q120" s="13" t="str">
        <x:v>https://mail.google.com/mail/#all/19e20235eb51160f</x:v>
      </x:c>
    </x:row>
    <x:row r="121">
      <x:c r="A121" s="11" t="n">
        <x:v>46155</x:v>
      </x:c>
      <x:c r="B121" s="12" t="str">
        <x:v>14:01:34</x:v>
      </x:c>
      <x:c r="C121" s="12" t="str">
        <x:v>May 2026</x:v>
      </x:c>
      <x:c r="D121" s="12" t="str">
        <x:v>Transfer dengan BI Fast Berhasil</x:v>
      </x:c>
      <x:c r="E121" s="12" t="str">
        <x:v>SAMUEL ZAKARIA H - Bank Central Asia</x:v>
      </x:c>
      <x:c r="F121" s="12" t="str">
        <x:v>Transfer Diri/Tabungan</x:v>
      </x:c>
      <x:c r="G121" s="12" t="str">
        <x:v>Rekening sendiri</x:v>
      </x:c>
      <x:c r="H121" s="7" t="n">
        <x:v>150000</x:v>
      </x:c>
      <x:c r="I121" s="7" t="n">
        <x:v>2500</x:v>
      </x:c>
      <x:c r="J121" s="7" t="n">
        <x:v>152500</x:v>
      </x:c>
      <x:c r="K121" s="12" t="str">
        <x:v>Berhasil</x:v>
      </x:c>
      <x:c r="L121" s="12" t="str">
        <x:v>Ya</x:v>
      </x:c>
      <x:c r="M121" s="12" t="str">
        <x:v>Tidak</x:v>
      </x:c>
      <x:c r="N121" s="12" t="str">
        <x:v>Bukan konsumsi; cek sebagai tabungan</x:v>
      </x:c>
      <x:c r="O121" s="12" t="str">
        <x:v>Transfer ke rekening sendiri</x:v>
      </x:c>
      <x:c r="P121" s="12" t="str">
        <x:v>19e20241c639a348</x:v>
      </x:c>
      <x:c r="Q121" s="13" t="str">
        <x:v>https://mail.google.com/mail/#all/19e20241c639a348</x:v>
      </x:c>
    </x:row>
    <x:row r="122">
      <x:c r="A122" s="11" t="n">
        <x:v>46156</x:v>
      </x:c>
      <x:c r="B122" s="12" t="str">
        <x:v>17:53:20</x:v>
      </x:c>
      <x:c r="C122" s="12" t="str">
        <x:v>May 2026</x:v>
      </x:c>
      <x:c r="D122" s="12" t="str">
        <x:v>Transfer dengan BI Fast Berhasil</x:v>
      </x:c>
      <x:c r="E122" s="12" t="str">
        <x:v>SAMUEL ZAKARIA H - Bank Central Asia</x:v>
      </x:c>
      <x:c r="F122" s="12" t="str">
        <x:v>Transfer Diri/Tabungan</x:v>
      </x:c>
      <x:c r="G122" s="12" t="str">
        <x:v>Rekening sendiri</x:v>
      </x:c>
      <x:c r="H122" s="7" t="n">
        <x:v>300000</x:v>
      </x:c>
      <x:c r="I122" s="7" t="n">
        <x:v>2500</x:v>
      </x:c>
      <x:c r="J122" s="7" t="n">
        <x:v>302500</x:v>
      </x:c>
      <x:c r="K122" s="12" t="str">
        <x:v>Berhasil</x:v>
      </x:c>
      <x:c r="L122" s="12" t="str">
        <x:v>Ya</x:v>
      </x:c>
      <x:c r="M122" s="12" t="str">
        <x:v>Tidak</x:v>
      </x:c>
      <x:c r="N122" s="12" t="str">
        <x:v>Bukan konsumsi; cek sebagai tabungan</x:v>
      </x:c>
      <x:c r="O122" s="12" t="str">
        <x:v>Transfer ke rekening sendiri</x:v>
      </x:c>
      <x:c r="P122" s="12" t="str">
        <x:v>19e261ebc8c91b7b</x:v>
      </x:c>
      <x:c r="Q122" s="13" t="str">
        <x:v>https://mail.google.com/mail/#all/19e261ebc8c91b7b</x:v>
      </x:c>
    </x:row>
    <x:row r="123">
      <x:c r="A123" s="11" t="n">
        <x:v>46156</x:v>
      </x:c>
      <x:c r="B123" s="12" t="str">
        <x:v>21:32:38</x:v>
      </x:c>
      <x:c r="C123" s="12" t="str">
        <x:v>May 2026</x:v>
      </x:c>
      <x:c r="D123" s="12" t="str">
        <x:v>Pembayaran Berhasil!</x:v>
      </x:c>
      <x:c r="E123" s="12" t="str">
        <x:v>KIMUKATSU SUN PLAZA MEDAN</x:v>
      </x:c>
      <x:c r="F123" s="12" t="str">
        <x:v>Makan &amp; Minum</x:v>
      </x:c>
      <x:c r="G123" s="12" t="str">
        <x:v>Makanan/minuman</x:v>
      </x:c>
      <x:c r="H123" s="7" t="n">
        <x:v>260018</x:v>
      </x:c>
      <x:c r="I123" s="7" t="n">
        <x:v>0</x:v>
      </x:c>
      <x:c r="J123" s="7" t="n">
        <x:v>260018</x:v>
      </x:c>
      <x:c r="K123" s="12" t="str">
        <x:v>Berhasil</x:v>
      </x:c>
      <x:c r="L123" s="12" t="str">
        <x:v>Ya</x:v>
      </x:c>
      <x:c r="M123" s="12" t="str">
        <x:v>Ya</x:v>
      </x:c>
      <x:c r="N123" s="12" t="str">
        <x:v>Normal</x:v>
      </x:c>
      <x:c r="O123" s="12" t="str">
        <x:v>QRIS</x:v>
      </x:c>
      <x:c r="P123" s="12" t="str">
        <x:v>19e26e78614a2920</x:v>
      </x:c>
      <x:c r="Q123" s="13" t="str">
        <x:v>https://mail.google.com/mail/#all/19e26e78614a2920</x:v>
      </x:c>
    </x:row>
    <x:row r="124">
      <x:c r="A124" s="11" t="n">
        <x:v>46156</x:v>
      </x:c>
      <x:c r="B124" s="12" t="str">
        <x:v>21:41:40</x:v>
      </x:c>
      <x:c r="C124" s="12" t="str">
        <x:v>May 2026</x:v>
      </x:c>
      <x:c r="D124" s="12" t="str">
        <x:v>Pembayaran Berhasil!</x:v>
      </x:c>
      <x:c r="E124" s="12" t="str">
        <x:v>GUARDIAN 3355 - MEDAN SUN</x:v>
      </x:c>
      <x:c r="F124" s="12" t="str">
        <x:v>Kesehatan &amp; Obat</x:v>
      </x:c>
      <x:c r="G124" s="12" t="str">
        <x:v>Health retail</x:v>
      </x:c>
      <x:c r="H124" s="7" t="n">
        <x:v>167000</x:v>
      </x:c>
      <x:c r="I124" s="7" t="n">
        <x:v>0</x:v>
      </x:c>
      <x:c r="J124" s="7" t="n">
        <x:v>167000</x:v>
      </x:c>
      <x:c r="K124" s="12" t="str">
        <x:v>Berhasil</x:v>
      </x:c>
      <x:c r="L124" s="12" t="str">
        <x:v>Ya</x:v>
      </x:c>
      <x:c r="M124" s="12" t="str">
        <x:v>Ya</x:v>
      </x:c>
      <x:c r="N124" s="12" t="str">
        <x:v>Normal</x:v>
      </x:c>
      <x:c r="O124" s="12" t="str">
        <x:v>QRIS</x:v>
      </x:c>
      <x:c r="P124" s="12" t="str">
        <x:v>19e26efbe250f6b5</x:v>
      </x:c>
      <x:c r="Q124" s="13" t="str">
        <x:v>https://mail.google.com/mail/#all/19e26efbe250f6b5</x:v>
      </x:c>
    </x:row>
    <x:row r="125">
      <x:c r="A125" s="11" t="n">
        <x:v>46157</x:v>
      </x:c>
      <x:c r="B125" s="12" t="str">
        <x:v>08:42:04</x:v>
      </x:c>
      <x:c r="C125" s="12" t="str">
        <x:v>May 2026</x:v>
      </x:c>
      <x:c r="D125" s="12" t="str">
        <x:v>Transfer Berhasil</x:v>
      </x:c>
      <x:c r="E125" s="12" t="str">
        <x:v>JULIA MENTARI</x:v>
      </x:c>
      <x:c r="F125" s="12" t="str">
        <x:v>Transfer ke Orang</x:v>
      </x:c>
      <x:c r="G125" s="12" t="str">
        <x:v>Transfer orang</x:v>
      </x:c>
      <x:c r="H125" s="7" t="n">
        <x:v>42000</x:v>
      </x:c>
      <x:c r="I125" s="7" t="n">
        <x:v>0</x:v>
      </x:c>
      <x:c r="J125" s="7" t="n">
        <x:v>42000</x:v>
      </x:c>
      <x:c r="K125" s="12" t="str">
        <x:v>Berhasil</x:v>
      </x:c>
      <x:c r="L125" s="12" t="str">
        <x:v>Ya</x:v>
      </x:c>
      <x:c r="M125" s="12" t="str">
        <x:v>Ya</x:v>
      </x:c>
      <x:c r="N125" s="12" t="str">
        <x:v>Normal</x:v>
      </x:c>
      <x:c r="O125" s="12" t="str">
        <x:v>Transfer QR</x:v>
      </x:c>
      <x:c r="P125" s="12" t="str">
        <x:v>19e294c76a24ff18</x:v>
      </x:c>
      <x:c r="Q125" s="13" t="str">
        <x:v>https://mail.google.com/mail/#all/19e294c76a24ff18</x:v>
      </x:c>
    </x:row>
    <x:row r="126">
      <x:c r="A126" s="11" t="n">
        <x:v>46157</x:v>
      </x:c>
      <x:c r="B126" s="12" t="str">
        <x:v>20:30:07</x:v>
      </x:c>
      <x:c r="C126" s="12" t="str">
        <x:v>May 2026</x:v>
      </x:c>
      <x:c r="D126" s="12" t="str">
        <x:v>Pembayaran Berhasil!</x:v>
      </x:c>
      <x:c r="E126" s="12" t="str">
        <x:v>KIMUKATSU DELI PARK MDN</x:v>
      </x:c>
      <x:c r="F126" s="12" t="str">
        <x:v>Makan &amp; Minum</x:v>
      </x:c>
      <x:c r="G126" s="12" t="str">
        <x:v>Makanan/minuman</x:v>
      </x:c>
      <x:c r="H126" s="7" t="n">
        <x:v>222706</x:v>
      </x:c>
      <x:c r="I126" s="7" t="n">
        <x:v>0</x:v>
      </x:c>
      <x:c r="J126" s="7" t="n">
        <x:v>222706</x:v>
      </x:c>
      <x:c r="K126" s="12" t="str">
        <x:v>Berhasil</x:v>
      </x:c>
      <x:c r="L126" s="12" t="str">
        <x:v>Ya</x:v>
      </x:c>
      <x:c r="M126" s="12" t="str">
        <x:v>Ya</x:v>
      </x:c>
      <x:c r="N126" s="12" t="str">
        <x:v>Normal</x:v>
      </x:c>
      <x:c r="O126" s="12" t="str">
        <x:v>QRIS</x:v>
      </x:c>
      <x:c r="P126" s="12" t="str">
        <x:v>19e2bd4ae51aa150</x:v>
      </x:c>
      <x:c r="Q126" s="13" t="str">
        <x:v>https://mail.google.com/mail/#all/19e2bd4ae51aa150</x:v>
      </x:c>
    </x:row>
    <x:row r="127">
      <x:c r="A127" s="11" t="n">
        <x:v>46158</x:v>
      </x:c>
      <x:c r="B127" s="12" t="str">
        <x:v>11:31:27</x:v>
      </x:c>
      <x:c r="C127" s="12" t="str">
        <x:v>May 2026</x:v>
      </x:c>
      <x:c r="D127" s="12" t="str">
        <x:v>Pembayaran Berhasil!</x:v>
      </x:c>
      <x:c r="E127" s="12" t="str">
        <x:v>ALGO MEDAN - QRIS</x:v>
      </x:c>
      <x:c r="F127" s="12" t="str">
        <x:v>Belanja Harian/Retail</x:v>
      </x:c>
      <x:c r="G127" s="12" t="str">
        <x:v>Retail/minimarket</x:v>
      </x:c>
      <x:c r="H127" s="7" t="n">
        <x:v>125000</x:v>
      </x:c>
      <x:c r="I127" s="7" t="n">
        <x:v>0</x:v>
      </x:c>
      <x:c r="J127" s="7" t="n">
        <x:v>125000</x:v>
      </x:c>
      <x:c r="K127" s="12" t="str">
        <x:v>Berhasil</x:v>
      </x:c>
      <x:c r="L127" s="12" t="str">
        <x:v>Ya</x:v>
      </x:c>
      <x:c r="M127" s="12" t="str">
        <x:v>Ya</x:v>
      </x:c>
      <x:c r="N127" s="12" t="str">
        <x:v>Normal</x:v>
      </x:c>
      <x:c r="O127" s="12" t="str">
        <x:v>QRIS</x:v>
      </x:c>
      <x:c r="P127" s="12" t="str">
        <x:v>19e2f0dcb98cc7f5</x:v>
      </x:c>
      <x:c r="Q127" s="13" t="str">
        <x:v>https://mail.google.com/mail/#all/19e2f0dcb98cc7f5</x:v>
      </x:c>
    </x:row>
    <x:row r="128">
      <x:c r="A128" s="11" t="n">
        <x:v>46160</x:v>
      </x:c>
      <x:c r="B128" s="12" t="str">
        <x:v>09:44:56</x:v>
      </x:c>
      <x:c r="C128" s="12" t="str">
        <x:v>May 2026</x:v>
      </x:c>
      <x:c r="D128" s="12" t="str">
        <x:v>Transfer dengan BI Fast Berhasil</x:v>
      </x:c>
      <x:c r="E128" s="12" t="str">
        <x:v>ROHDEARNI BARUTU - Bank Rakyat Indonesia</x:v>
      </x:c>
      <x:c r="F128" s="12" t="str">
        <x:v>Transfer ke Orang</x:v>
      </x:c>
      <x:c r="G128" s="12" t="str">
        <x:v>Transfer orang</x:v>
      </x:c>
      <x:c r="H128" s="7" t="n">
        <x:v>200000</x:v>
      </x:c>
      <x:c r="I128" s="7" t="n">
        <x:v>2500</x:v>
      </x:c>
      <x:c r="J128" s="7" t="n">
        <x:v>202500</x:v>
      </x:c>
      <x:c r="K128" s="12" t="str">
        <x:v>Berhasil</x:v>
      </x:c>
      <x:c r="L128" s="12" t="str">
        <x:v>Ya</x:v>
      </x:c>
      <x:c r="M128" s="12" t="str">
        <x:v>Ya</x:v>
      </x:c>
      <x:c r="N128" s="12" t="str">
        <x:v>Normal</x:v>
      </x:c>
      <x:c r="O128" s="12" t="str">
        <x:v>Transfer BI Fast</x:v>
      </x:c>
      <x:c r="P128" s="12" t="str">
        <x:v>19e38f9075a951f7</x:v>
      </x:c>
      <x:c r="Q128" s="13" t="str">
        <x:v>https://mail.google.com/mail/#all/19e38f9075a951f7</x:v>
      </x:c>
    </x:row>
    <x:row r="129">
      <x:c r="A129" s="11" t="n">
        <x:v>46162</x:v>
      </x:c>
      <x:c r="B129" s="12" t="str">
        <x:v>17:18:55</x:v>
      </x:c>
      <x:c r="C129" s="12" t="str">
        <x:v>May 2026</x:v>
      </x:c>
      <x:c r="D129" s="12" t="str">
        <x:v>Pembayaran Berhasil!</x:v>
      </x:c>
      <x:c r="E129" s="12" t="str">
        <x:v>MyTelkomsel Apps</x:v>
      </x:c>
      <x:c r="F129" s="12" t="str">
        <x:v>Telekomunikasi</x:v>
      </x:c>
      <x:c r="G129" s="12" t="str">
        <x:v>Pulsa/data</x:v>
      </x:c>
      <x:c r="H129" s="7" t="n">
        <x:v>50000</x:v>
      </x:c>
      <x:c r="I129" s="7" t="n">
        <x:v>0</x:v>
      </x:c>
      <x:c r="J129" s="7" t="n">
        <x:v>50000</x:v>
      </x:c>
      <x:c r="K129" s="12" t="str">
        <x:v>Berhasil</x:v>
      </x:c>
      <x:c r="L129" s="12" t="str">
        <x:v>Ya</x:v>
      </x:c>
      <x:c r="M129" s="12" t="str">
        <x:v>Ya</x:v>
      </x:c>
      <x:c r="N129" s="12" t="str">
        <x:v>Normal</x:v>
      </x:c>
      <x:c r="O129" s="12" t="str">
        <x:v>QRIS</x:v>
      </x:c>
      <x:c r="P129" s="12" t="str">
        <x:v>19e44e55cf8a9aa8</x:v>
      </x:c>
      <x:c r="Q129" s="13" t="str">
        <x:v>https://mail.google.com/mail/#all/19e44e55cf8a9aa8</x:v>
      </x:c>
    </x:row>
    <x:row r="130">
      <x:c r="A130" s="11" t="n">
        <x:v>46164</x:v>
      </x:c>
      <x:c r="B130" s="12" t="str">
        <x:v>21:03:52</x:v>
      </x:c>
      <x:c r="C130" s="12" t="str">
        <x:v>May 2026</x:v>
      </x:c>
      <x:c r="D130" s="12" t="str">
        <x:v>Pembayaran Berhasil!</x:v>
      </x:c>
      <x:c r="E130" s="12" t="str">
        <x:v>KEMBAR CAFE RESTO ZONA 1</x:v>
      </x:c>
      <x:c r="F130" s="12" t="str">
        <x:v>Makan &amp; Minum</x:v>
      </x:c>
      <x:c r="G130" s="12" t="str">
        <x:v>Makanan/minuman</x:v>
      </x:c>
      <x:c r="H130" s="7" t="n">
        <x:v>66000</x:v>
      </x:c>
      <x:c r="I130" s="7" t="n">
        <x:v>0</x:v>
      </x:c>
      <x:c r="J130" s="7" t="n">
        <x:v>66000</x:v>
      </x:c>
      <x:c r="K130" s="12" t="str">
        <x:v>Berhasil</x:v>
      </x:c>
      <x:c r="L130" s="12" t="str">
        <x:v>Ya</x:v>
      </x:c>
      <x:c r="M130" s="12" t="str">
        <x:v>Ya</x:v>
      </x:c>
      <x:c r="N130" s="12" t="str">
        <x:v>Normal</x:v>
      </x:c>
      <x:c r="O130" s="12" t="str">
        <x:v>QRIS</x:v>
      </x:c>
      <x:c r="P130" s="12" t="str">
        <x:v>19e500007d0d6fa2</x:v>
      </x:c>
      <x:c r="Q130" s="13" t="str">
        <x:v>https://mail.google.com/mail/#all/19e500007d0d6fa2</x:v>
      </x:c>
    </x:row>
    <x:row r="131">
      <x:c r="A131" s="11" t="n">
        <x:v>46165</x:v>
      </x:c>
      <x:c r="B131" s="12" t="str">
        <x:v>17:37:56</x:v>
      </x:c>
      <x:c r="C131" s="12" t="str">
        <x:v>May 2026</x:v>
      </x:c>
      <x:c r="D131" s="12" t="str">
        <x:v>Pembayaran Berhasil!</x:v>
      </x:c>
      <x:c r="E131" s="12" t="str">
        <x:v>KOPI MEDAN</x:v>
      </x:c>
      <x:c r="F131" s="12" t="str">
        <x:v>Makan &amp; Minum</x:v>
      </x:c>
      <x:c r="G131" s="12" t="str">
        <x:v>Makanan/minuman</x:v>
      </x:c>
      <x:c r="H131" s="7" t="n">
        <x:v>78972</x:v>
      </x:c>
      <x:c r="I131" s="7" t="n">
        <x:v>0</x:v>
      </x:c>
      <x:c r="J131" s="7" t="n">
        <x:v>78972</x:v>
      </x:c>
      <x:c r="K131" s="12" t="str">
        <x:v>Berhasil</x:v>
      </x:c>
      <x:c r="L131" s="12" t="str">
        <x:v>Ya</x:v>
      </x:c>
      <x:c r="M131" s="12" t="str">
        <x:v>Ya</x:v>
      </x:c>
      <x:c r="N131" s="12" t="str">
        <x:v>Normal</x:v>
      </x:c>
      <x:c r="O131" s="12" t="str">
        <x:v>QRIS</x:v>
      </x:c>
      <x:c r="P131" s="12" t="str">
        <x:v>19e5469ebb9c3efe</x:v>
      </x:c>
      <x:c r="Q131" s="13" t="str">
        <x:v>https://mail.google.com/mail/#all/19e5469ebb9c3efe</x:v>
      </x:c>
    </x:row>
    <x:row r="132">
      <x:c r="A132" s="11" t="n">
        <x:v>46165</x:v>
      </x:c>
      <x:c r="B132" s="12" t="str">
        <x:v>19:25:32</x:v>
      </x:c>
      <x:c r="C132" s="12" t="str">
        <x:v>May 2026</x:v>
      </x:c>
      <x:c r="D132" s="12" t="str">
        <x:v>Pembayaran Berhasil!</x:v>
      </x:c>
      <x:c r="E132" s="12" t="str">
        <x:v>HOTEL DANAU TOBA INTERNAS</x:v>
      </x:c>
      <x:c r="F132" s="12" t="str">
        <x:v>Makan &amp; Minum</x:v>
      </x:c>
      <x:c r="G132" s="12" t="str">
        <x:v>Makanan/minuman</x:v>
      </x:c>
      <x:c r="H132" s="7" t="n">
        <x:v>206618</x:v>
      </x:c>
      <x:c r="I132" s="7" t="n">
        <x:v>0</x:v>
      </x:c>
      <x:c r="J132" s="7" t="n">
        <x:v>206618</x:v>
      </x:c>
      <x:c r="K132" s="12" t="str">
        <x:v>Berhasil</x:v>
      </x:c>
      <x:c r="L132" s="12" t="str">
        <x:v>Ya</x:v>
      </x:c>
      <x:c r="M132" s="12" t="str">
        <x:v>Ya</x:v>
      </x:c>
      <x:c r="N132" s="12" t="str">
        <x:v>Normal</x:v>
      </x:c>
      <x:c r="O132" s="12" t="str">
        <x:v>QRIS</x:v>
      </x:c>
      <x:c r="P132" s="12" t="str">
        <x:v>19e54cc89ca05b7f</x:v>
      </x:c>
      <x:c r="Q132" s="13" t="str">
        <x:v>https://mail.google.com/mail/#all/19e54cc89ca05b7f</x:v>
      </x:c>
    </x:row>
    <x:row r="133">
      <x:c r="A133" s="11" t="n">
        <x:v>46166</x:v>
      </x:c>
      <x:c r="B133" s="12" t="str">
        <x:v>20:32:49</x:v>
      </x:c>
      <x:c r="C133" s="12" t="str">
        <x:v>May 2026</x:v>
      </x:c>
      <x:c r="D133" s="12" t="str">
        <x:v>Top-up Berhasil</x:v>
      </x:c>
      <x:c r="E133" s="12" t="str">
        <x:v>Danatopup ****0965</x:v>
      </x:c>
      <x:c r="F133" s="12" t="str">
        <x:v>Dompet Digital &amp; Aggregator</x:v>
      </x:c>
      <x:c r="G133" s="12" t="str">
        <x:v>Top-up DANA</x:v>
      </x:c>
      <x:c r="H133" s="7" t="n">
        <x:v>35000</x:v>
      </x:c>
      <x:c r="I133" s="7" t="n">
        <x:v>1000</x:v>
      </x:c>
      <x:c r="J133" s="7" t="n">
        <x:v>36000</x:v>
      </x:c>
      <x:c r="K133" s="12" t="str">
        <x:v>Berhasil</x:v>
      </x:c>
      <x:c r="L133" s="12" t="str">
        <x:v>Ya</x:v>
      </x:c>
      <x:c r="M133" s="12" t="str">
        <x:v>Ya</x:v>
      </x:c>
      <x:c r="N133" s="12" t="str">
        <x:v>Perlu breakdown wallet</x:v>
      </x:c>
      <x:c r="O133" s="12" t="str">
        <x:v>Top-up</x:v>
      </x:c>
      <x:c r="P133" s="12" t="str">
        <x:v>19e5a30555c95885</x:v>
      </x:c>
      <x:c r="Q133" s="13" t="str">
        <x:v>https://mail.google.com/mail/#all/19e5a30555c95885</x:v>
      </x:c>
    </x:row>
    <x:row r="134">
      <x:c r="A134" s="11" t="n">
        <x:v>46168</x:v>
      </x:c>
      <x:c r="B134" s="12" t="str">
        <x:v>11:02:14</x:v>
      </x:c>
      <x:c r="C134" s="12" t="str">
        <x:v>May 2026</x:v>
      </x:c>
      <x:c r="D134" s="12" t="str">
        <x:v>Pembayaran Berhasil!</x:v>
      </x:c>
      <x:c r="E134" s="12" t="str">
        <x:v>ALGO MEDAN - QRIS</x:v>
      </x:c>
      <x:c r="F134" s="12" t="str">
        <x:v>Belanja Harian/Retail</x:v>
      </x:c>
      <x:c r="G134" s="12" t="str">
        <x:v>Retail/minimarket</x:v>
      </x:c>
      <x:c r="H134" s="7" t="n">
        <x:v>22500</x:v>
      </x:c>
      <x:c r="I134" s="7" t="n">
        <x:v>0</x:v>
      </x:c>
      <x:c r="J134" s="7" t="n">
        <x:v>22500</x:v>
      </x:c>
      <x:c r="K134" s="12" t="str">
        <x:v>Berhasil</x:v>
      </x:c>
      <x:c r="L134" s="12" t="str">
        <x:v>Ya</x:v>
      </x:c>
      <x:c r="M134" s="12" t="str">
        <x:v>Ya</x:v>
      </x:c>
      <x:c r="N134" s="12" t="str">
        <x:v>Normal</x:v>
      </x:c>
      <x:c r="O134" s="12" t="str">
        <x:v>QRIS</x:v>
      </x:c>
      <x:c r="P134" s="12" t="str">
        <x:v>19e6272b9680a81e</x:v>
      </x:c>
      <x:c r="Q134" s="13" t="str">
        <x:v>https://mail.google.com/mail/#all/19e6272b9680a81e</x:v>
      </x:c>
    </x:row>
    <x:row r="135">
      <x:c r="A135" s="11" t="n">
        <x:v>46170</x:v>
      </x:c>
      <x:c r="B135" s="12" t="str">
        <x:v>20:20:03</x:v>
      </x:c>
      <x:c r="C135" s="12" t="str">
        <x:v>May 2026</x:v>
      </x:c>
      <x:c r="D135" s="12" t="str">
        <x:v>Pembayaran Berhasil!</x:v>
      </x:c>
      <x:c r="E135" s="12" t="str">
        <x:v>Toko Obat Uli Parna</x:v>
      </x:c>
      <x:c r="F135" s="12" t="str">
        <x:v>Kesehatan &amp; Obat</x:v>
      </x:c>
      <x:c r="G135" s="12" t="str">
        <x:v>Obat/apotek</x:v>
      </x:c>
      <x:c r="H135" s="7" t="n">
        <x:v>22000</x:v>
      </x:c>
      <x:c r="I135" s="7" t="n">
        <x:v>0</x:v>
      </x:c>
      <x:c r="J135" s="7" t="n">
        <x:v>22000</x:v>
      </x:c>
      <x:c r="K135" s="12" t="str">
        <x:v>Berhasil</x:v>
      </x:c>
      <x:c r="L135" s="12" t="str">
        <x:v>Ya</x:v>
      </x:c>
      <x:c r="M135" s="12" t="str">
        <x:v>Ya</x:v>
      </x:c>
      <x:c r="N135" s="12" t="str">
        <x:v>Normal</x:v>
      </x:c>
      <x:c r="O135" s="12" t="str">
        <x:v>QRIS</x:v>
      </x:c>
      <x:c r="P135" s="12" t="str">
        <x:v>19e6ebe2bfa85b07</x:v>
      </x:c>
      <x:c r="Q135" s="13" t="str">
        <x:v>https://mail.google.com/mail/#all/19e6ebe2bfa85b07</x:v>
      </x:c>
    </x:row>
    <x:row r="136">
      <x:c r="A136" s="11" t="n">
        <x:v>46171</x:v>
      </x:c>
      <x:c r="B136" s="12" t="str">
        <x:v>07:27:04</x:v>
      </x:c>
      <x:c r="C136" s="12" t="str">
        <x:v>May 2026</x:v>
      </x:c>
      <x:c r="D136" s="12" t="str">
        <x:v>Pembayaran Berhasil!</x:v>
      </x:c>
      <x:c r="E136" s="12" t="str">
        <x:v>Toko Fitri Cemara</x:v>
      </x:c>
      <x:c r="F136" s="12" t="str">
        <x:v>Belanja Harian/Retail</x:v>
      </x:c>
      <x:c r="G136" s="12" t="str">
        <x:v>Retail/minimarket</x:v>
      </x:c>
      <x:c r="H136" s="7" t="n">
        <x:v>8000</x:v>
      </x:c>
      <x:c r="I136" s="7" t="n">
        <x:v>0</x:v>
      </x:c>
      <x:c r="J136" s="7" t="n">
        <x:v>8000</x:v>
      </x:c>
      <x:c r="K136" s="12" t="str">
        <x:v>Berhasil</x:v>
      </x:c>
      <x:c r="L136" s="12" t="str">
        <x:v>Ya</x:v>
      </x:c>
      <x:c r="M136" s="12" t="str">
        <x:v>Ya</x:v>
      </x:c>
      <x:c r="N136" s="12" t="str">
        <x:v>Normal</x:v>
      </x:c>
      <x:c r="O136" s="12" t="str">
        <x:v>QRIS</x:v>
      </x:c>
      <x:c r="P136" s="12" t="str">
        <x:v>19e7120d19dc3d9d</x:v>
      </x:c>
      <x:c r="Q136" s="13" t="str">
        <x:v>https://mail.google.com/mail/#all/19e7120d19dc3d9d</x:v>
      </x:c>
    </x:row>
    <x:row r="137">
      <x:c r="A137" s="11" t="n">
        <x:v>46171</x:v>
      </x:c>
      <x:c r="B137" s="12" t="str">
        <x:v>13:14:40</x:v>
      </x:c>
      <x:c r="C137" s="12" t="str">
        <x:v>May 2026</x:v>
      </x:c>
      <x:c r="D137" s="12" t="str">
        <x:v>Pembayaran Berhasil!</x:v>
      </x:c>
      <x:c r="E137" s="12" t="str">
        <x:v>MAISON PIERRE BOULANGERIE</x:v>
      </x:c>
      <x:c r="F137" s="12" t="str">
        <x:v>Makan &amp; Minum</x:v>
      </x:c>
      <x:c r="G137" s="12" t="str">
        <x:v>Makanan/minuman</x:v>
      </x:c>
      <x:c r="H137" s="7" t="n">
        <x:v>28000</x:v>
      </x:c>
      <x:c r="I137" s="7" t="n">
        <x:v>0</x:v>
      </x:c>
      <x:c r="J137" s="7" t="n">
        <x:v>28000</x:v>
      </x:c>
      <x:c r="K137" s="12" t="str">
        <x:v>Berhasil</x:v>
      </x:c>
      <x:c r="L137" s="12" t="str">
        <x:v>Ya</x:v>
      </x:c>
      <x:c r="M137" s="12" t="str">
        <x:v>Ya</x:v>
      </x:c>
      <x:c r="N137" s="12" t="str">
        <x:v>Normal</x:v>
      </x:c>
      <x:c r="O137" s="12" t="str">
        <x:v>QRIS</x:v>
      </x:c>
      <x:c r="P137" s="12" t="str">
        <x:v>19e725f0dcb74a01</x:v>
      </x:c>
      <x:c r="Q137" s="13" t="str">
        <x:v>https://mail.google.com/mail/#all/19e725f0dcb74a01</x:v>
      </x:c>
    </x:row>
    <x:row r="138">
      <x:c r="A138" s="11" t="n">
        <x:v>46171</x:v>
      </x:c>
      <x:c r="B138" s="12" t="str">
        <x:v>17:07:14</x:v>
      </x:c>
      <x:c r="C138" s="12" t="str">
        <x:v>May 2026</x:v>
      </x:c>
      <x:c r="D138" s="12" t="str">
        <x:v>Transfer Berhasil</x:v>
      </x:c>
      <x:c r="E138" s="12" t="str">
        <x:v>OLIB FELIX ANDIKA AR</x:v>
      </x:c>
      <x:c r="F138" s="12" t="str">
        <x:v>Transfer ke Orang</x:v>
      </x:c>
      <x:c r="G138" s="12" t="str">
        <x:v>Transfer orang</x:v>
      </x:c>
      <x:c r="H138" s="7" t="n">
        <x:v>10000</x:v>
      </x:c>
      <x:c r="I138" s="7" t="n">
        <x:v>0</x:v>
      </x:c>
      <x:c r="J138" s="7" t="n">
        <x:v>10000</x:v>
      </x:c>
      <x:c r="K138" s="12" t="str">
        <x:v>Berhasil</x:v>
      </x:c>
      <x:c r="L138" s="12" t="str">
        <x:v>Ya</x:v>
      </x:c>
      <x:c r="M138" s="12" t="str">
        <x:v>Ya</x:v>
      </x:c>
      <x:c r="N138" s="12" t="str">
        <x:v>Normal</x:v>
      </x:c>
      <x:c r="O138" s="12" t="str">
        <x:v>Transfer QR</x:v>
      </x:c>
      <x:c r="P138" s="12" t="str">
        <x:v>19e7333e20c1b4e4</x:v>
      </x:c>
      <x:c r="Q138" s="13" t="str">
        <x:v>https://mail.google.com/mail/#all/19e7333e20c1b4e4</x:v>
      </x:c>
    </x:row>
    <x:row r="139">
      <x:c r="A139" s="11" t="n">
        <x:v>46172</x:v>
      </x:c>
      <x:c r="B139" s="12" t="str">
        <x:v>17:48:24</x:v>
      </x:c>
      <x:c r="C139" s="12" t="str">
        <x:v>May 2026</x:v>
      </x:c>
      <x:c r="D139" s="12" t="str">
        <x:v>Pembayaran Berhasil!</x:v>
      </x:c>
      <x:c r="E139" s="12" t="str">
        <x:v>Gopay Payment 60739081370309604</x:v>
      </x:c>
      <x:c r="F139" s="12" t="str">
        <x:v>Dompet Digital &amp; Aggregator</x:v>
      </x:c>
      <x:c r="G139" s="12" t="str">
        <x:v>GoPay Payment</x:v>
      </x:c>
      <x:c r="H139" s="7" t="n">
        <x:v>228300</x:v>
      </x:c>
      <x:c r="I139" s="7" t="n">
        <x:v>0</x:v>
      </x:c>
      <x:c r="J139" s="7" t="n">
        <x:v>228300</x:v>
      </x:c>
      <x:c r="K139" s="12" t="str">
        <x:v>Berhasil</x:v>
      </x:c>
      <x:c r="L139" s="12" t="str">
        <x:v>Ya</x:v>
      </x:c>
      <x:c r="M139" s="12" t="str">
        <x:v>Ya</x:v>
      </x:c>
      <x:c r="N139" s="12" t="str">
        <x:v>Perlu breakdown wallet</x:v>
      </x:c>
      <x:c r="O139" s="12" t="str">
        <x:v>Aggregator payment</x:v>
      </x:c>
      <x:c r="P139" s="12" t="str">
        <x:v>19e788008d2816dd</x:v>
      </x:c>
      <x:c r="Q139" s="13" t="str">
        <x:v>https://mail.google.com/mail/#all/19e788008d2816dd</x:v>
      </x:c>
    </x:row>
    <x:row r="140">
      <x:c r="A140" s="11" t="n">
        <x:v>46174</x:v>
      </x:c>
      <x:c r="B140" s="12" t="str">
        <x:v>20:37:30</x:v>
      </x:c>
      <x:c r="C140" s="12" t="str">
        <x:v>Jun 2026</x:v>
      </x:c>
      <x:c r="D140" s="12" t="str">
        <x:v>Pembayaran Berhasil!</x:v>
      </x:c>
      <x:c r="E140" s="12" t="str">
        <x:v>Tokopedia 8870800231081108</x:v>
      </x:c>
      <x:c r="F140" s="12" t="str">
        <x:v>Belanja Harian/Retail</x:v>
      </x:c>
      <x:c r="G140" s="12" t="str">
        <x:v>Belanja online</x:v>
      </x:c>
      <x:c r="H140" s="7" t="n">
        <x:v>126876</x:v>
      </x:c>
      <x:c r="I140" s="7" t="n">
        <x:v>1000</x:v>
      </x:c>
      <x:c r="J140" s="7" t="n">
        <x:v>127876</x:v>
      </x:c>
      <x:c r="K140" s="12" t="str">
        <x:v>Berhasil</x:v>
      </x:c>
      <x:c r="L140" s="12" t="str">
        <x:v>Ya</x:v>
      </x:c>
      <x:c r="M140" s="12" t="str">
        <x:v>Ya</x:v>
      </x:c>
      <x:c r="N140" s="12" t="str">
        <x:v>Normal</x:v>
      </x:c>
      <x:c r="O140" s="12" t="str">
        <x:v>Payment</x:v>
      </x:c>
      <x:c r="P140" s="12" t="str">
        <x:v>19e836782a2d2434</x:v>
      </x:c>
      <x:c r="Q140" s="13" t="str">
        <x:v>https://mail.google.com/mail/#all/19e836782a2d2434</x:v>
      </x:c>
    </x:row>
    <x:row r="141">
      <x:c r="A141" s="11" t="n">
        <x:v>46175</x:v>
      </x:c>
      <x:c r="B141" s="12" t="str">
        <x:v>15:17:02</x:v>
      </x:c>
      <x:c r="C141" s="12" t="str">
        <x:v>Jun 2026</x:v>
      </x:c>
      <x:c r="D141" s="12" t="str">
        <x:v>Pembayaran Berhasil!</x:v>
      </x:c>
      <x:c r="E141" s="12" t="str">
        <x:v>Gopay Payment 60739081370309604</x:v>
      </x:c>
      <x:c r="F141" s="12" t="str">
        <x:v>Dompet Digital &amp; Aggregator</x:v>
      </x:c>
      <x:c r="G141" s="12" t="str">
        <x:v>GoPay Payment</x:v>
      </x:c>
      <x:c r="H141" s="7" t="n">
        <x:v>2880246</x:v>
      </x:c>
      <x:c r="I141" s="7" t="n">
        <x:v>0</x:v>
      </x:c>
      <x:c r="J141" s="7" t="n">
        <x:v>2880246</x:v>
      </x:c>
      <x:c r="K141" s="12" t="str">
        <x:v>Berhasil</x:v>
      </x:c>
      <x:c r="L141" s="12" t="str">
        <x:v>Ya</x:v>
      </x:c>
      <x:c r="M141" s="12" t="str">
        <x:v>Ya</x:v>
      </x:c>
      <x:c r="N141" s="12" t="str">
        <x:v>High review</x:v>
      </x:c>
      <x:c r="O141" s="12" t="str">
        <x:v>Aggregator payment</x:v>
      </x:c>
      <x:c r="P141" s="12" t="str">
        <x:v>19e876873895a42b</x:v>
      </x:c>
      <x:c r="Q141" s="13" t="str">
        <x:v>https://mail.google.com/mail/#all/19e876873895a42b</x:v>
      </x:c>
    </x:row>
    <x:row r="142">
      <x:c r="A142" s="11" t="n">
        <x:v>46175</x:v>
      </x:c>
      <x:c r="B142" s="12" t="str">
        <x:v>16:42:15</x:v>
      </x:c>
      <x:c r="C142" s="12" t="str">
        <x:v>Jun 2026</x:v>
      </x:c>
      <x:c r="D142" s="12" t="str">
        <x:v>Pembayaran Berhasil!</x:v>
      </x:c>
      <x:c r="E142" s="12" t="str">
        <x:v>Toko Fitri Cemara</x:v>
      </x:c>
      <x:c r="F142" s="12" t="str">
        <x:v>Belanja Harian/Retail</x:v>
      </x:c>
      <x:c r="G142" s="12" t="str">
        <x:v>Retail/minimarket</x:v>
      </x:c>
      <x:c r="H142" s="7" t="n">
        <x:v>24000</x:v>
      </x:c>
      <x:c r="I142" s="7" t="n">
        <x:v>0</x:v>
      </x:c>
      <x:c r="J142" s="7" t="n">
        <x:v>24000</x:v>
      </x:c>
      <x:c r="K142" s="12" t="str">
        <x:v>Berhasil</x:v>
      </x:c>
      <x:c r="L142" s="12" t="str">
        <x:v>Ya</x:v>
      </x:c>
      <x:c r="M142" s="12" t="str">
        <x:v>Ya</x:v>
      </x:c>
      <x:c r="N142" s="12" t="str">
        <x:v>Normal</x:v>
      </x:c>
      <x:c r="O142" s="12" t="str">
        <x:v>QRIS</x:v>
      </x:c>
      <x:c r="P142" s="12" t="str">
        <x:v>19e87b69401846da</x:v>
      </x:c>
      <x:c r="Q142" s="13" t="str">
        <x:v>https://mail.google.com/mail/#all/19e87b69401846da</x:v>
      </x:c>
    </x:row>
    <x:row r="143">
      <x:c r="A143" s="11" t="n">
        <x:v>46175</x:v>
      </x:c>
      <x:c r="B143" s="12" t="str">
        <x:v>20:17:25</x:v>
      </x:c>
      <x:c r="C143" s="12" t="str">
        <x:v>Jun 2026</x:v>
      </x:c>
      <x:c r="D143" s="12" t="str">
        <x:v>Transfer dengan BI Fast Berhasil</x:v>
      </x:c>
      <x:c r="E143" s="12" t="str">
        <x:v>JOICE MELATI H - Bank Negara Indonesia</x:v>
      </x:c>
      <x:c r="F143" s="12" t="str">
        <x:v>Transfer ke Orang</x:v>
      </x:c>
      <x:c r="G143" s="12" t="str">
        <x:v>Transfer orang</x:v>
      </x:c>
      <x:c r="H143" s="7" t="n">
        <x:v>232000</x:v>
      </x:c>
      <x:c r="I143" s="7" t="n">
        <x:v>2500</x:v>
      </x:c>
      <x:c r="J143" s="7" t="n">
        <x:v>234500</x:v>
      </x:c>
      <x:c r="K143" s="12" t="str">
        <x:v>Berhasil</x:v>
      </x:c>
      <x:c r="L143" s="12" t="str">
        <x:v>Ya</x:v>
      </x:c>
      <x:c r="M143" s="12" t="str">
        <x:v>Ya</x:v>
      </x:c>
      <x:c r="N143" s="12" t="str">
        <x:v>Normal</x:v>
      </x:c>
      <x:c r="O143" s="12" t="str">
        <x:v>Transfer BI Fast</x:v>
      </x:c>
      <x:c r="P143" s="12" t="str">
        <x:v>19e887b6feefc66b</x:v>
      </x:c>
      <x:c r="Q143" s="13" t="str">
        <x:v>https://mail.google.com/mail/#all/19e887b6feefc66b</x:v>
      </x:c>
    </x:row>
    <x:row r="144">
      <x:c r="A144" s="11" t="n">
        <x:v>46176</x:v>
      </x:c>
      <x:c r="B144" s="12" t="str">
        <x:v>17:46:55</x:v>
      </x:c>
      <x:c r="C144" s="12" t="str">
        <x:v>Jun 2026</x:v>
      </x:c>
      <x:c r="D144" s="12" t="str">
        <x:v>Transfer dengan BI Fast Berhasil</x:v>
      </x:c>
      <x:c r="E144" s="12" t="str">
        <x:v>KOK LI - Bank Danamon Indonesia</x:v>
      </x:c>
      <x:c r="F144" s="12" t="str">
        <x:v>Transfer ke Orang</x:v>
      </x:c>
      <x:c r="G144" s="12" t="str">
        <x:v>Transfer orang</x:v>
      </x:c>
      <x:c r="H144" s="7" t="n">
        <x:v>12000</x:v>
      </x:c>
      <x:c r="I144" s="7" t="n">
        <x:v>2500</x:v>
      </x:c>
      <x:c r="J144" s="7" t="n">
        <x:v>14500</x:v>
      </x:c>
      <x:c r="K144" s="12" t="str">
        <x:v>Berhasil</x:v>
      </x:c>
      <x:c r="L144" s="12" t="str">
        <x:v>Ya</x:v>
      </x:c>
      <x:c r="M144" s="12" t="str">
        <x:v>Ya</x:v>
      </x:c>
      <x:c r="N144" s="12" t="str">
        <x:v>Normal</x:v>
      </x:c>
      <x:c r="O144" s="12" t="str">
        <x:v>Transfer BI Fast</x:v>
      </x:c>
      <x:c r="P144" s="12" t="str">
        <x:v>19e8d181abe06b18</x:v>
      </x:c>
      <x:c r="Q144" s="13" t="str">
        <x:v>https://mail.google.com/mail/#all/19e8d181abe06b18</x:v>
      </x:c>
    </x:row>
    <x:row r="145">
      <x:c r="A145" s="11" t="n">
        <x:v>46178</x:v>
      </x:c>
      <x:c r="B145" s="12" t="str">
        <x:v>11:03:34</x:v>
      </x:c>
      <x:c r="C145" s="12" t="str">
        <x:v>Jun 2026</x:v>
      </x:c>
      <x:c r="D145" s="12" t="str">
        <x:v>Pembayaran Berhasil!</x:v>
      </x:c>
      <x:c r="E145" s="12" t="str">
        <x:v>Gopay Payment 60739081370309604</x:v>
      </x:c>
      <x:c r="F145" s="12" t="str">
        <x:v>Dompet Digital &amp; Aggregator</x:v>
      </x:c>
      <x:c r="G145" s="12" t="str">
        <x:v>GoPay Payment</x:v>
      </x:c>
      <x:c r="H145" s="7" t="n">
        <x:v>444501</x:v>
      </x:c>
      <x:c r="I145" s="7" t="n">
        <x:v>0</x:v>
      </x:c>
      <x:c r="J145" s="7" t="n">
        <x:v>444501</x:v>
      </x:c>
      <x:c r="K145" s="12" t="str">
        <x:v>Berhasil</x:v>
      </x:c>
      <x:c r="L145" s="12" t="str">
        <x:v>Ya</x:v>
      </x:c>
      <x:c r="M145" s="12" t="str">
        <x:v>Ya</x:v>
      </x:c>
      <x:c r="N145" s="12" t="str">
        <x:v>Perlu breakdown wallet</x:v>
      </x:c>
      <x:c r="O145" s="12" t="str">
        <x:v>Aggregator payment</x:v>
      </x:c>
      <x:c r="P145" s="12" t="str">
        <x:v>19e95f39dabf3cea</x:v>
      </x:c>
      <x:c r="Q145" s="13" t="str">
        <x:v>https://mail.google.com/mail/#all/19e95f39dabf3cea</x:v>
      </x:c>
    </x:row>
    <x:row r="146">
      <x:c r="A146" s="11" t="n">
        <x:v>46178</x:v>
      </x:c>
      <x:c r="B146" s="12" t="str">
        <x:v>11:50:59</x:v>
      </x:c>
      <x:c r="C146" s="12" t="str">
        <x:v>Jun 2026</x:v>
      </x:c>
      <x:c r="D146" s="12" t="str">
        <x:v>Transfer Berhasil</x:v>
      </x:c>
      <x:c r="E146" s="12" t="str">
        <x:v>JESSICA EVANGELI</x:v>
      </x:c>
      <x:c r="F146" s="12" t="str">
        <x:v>Transfer ke Orang</x:v>
      </x:c>
      <x:c r="G146" s="12" t="str">
        <x:v>Transfer orang</x:v>
      </x:c>
      <x:c r="H146" s="7" t="n">
        <x:v>79000</x:v>
      </x:c>
      <x:c r="I146" s="7" t="n">
        <x:v>0</x:v>
      </x:c>
      <x:c r="J146" s="7" t="n">
        <x:v>79000</x:v>
      </x:c>
      <x:c r="K146" s="12" t="str">
        <x:v>Berhasil</x:v>
      </x:c>
      <x:c r="L146" s="12" t="str">
        <x:v>Ya</x:v>
      </x:c>
      <x:c r="M146" s="12" t="str">
        <x:v>Ya</x:v>
      </x:c>
      <x:c r="N146" s="12" t="str">
        <x:v>Normal</x:v>
      </x:c>
      <x:c r="O146" s="12" t="str">
        <x:v>Transfer</x:v>
      </x:c>
      <x:c r="P146" s="12" t="str">
        <x:v>19e961ee4487d347</x:v>
      </x:c>
      <x:c r="Q146" s="13" t="str">
        <x:v>https://mail.google.com/mail/#all/19e961ee4487d347</x:v>
      </x:c>
    </x:row>
    <x:row r="147">
      <x:c r="A147" s="11" t="n">
        <x:v>46178</x:v>
      </x:c>
      <x:c r="B147" s="12" t="str">
        <x:v>13:27:09</x:v>
      </x:c>
      <x:c r="C147" s="12" t="str">
        <x:v>Jun 2026</x:v>
      </x:c>
      <x:c r="D147" s="12" t="str">
        <x:v>Top-up Berhasil</x:v>
      </x:c>
      <x:c r="E147" s="12" t="str">
        <x:v>GoPay Customer ****9604</x:v>
      </x:c>
      <x:c r="F147" s="12" t="str">
        <x:v>Dompet Digital &amp; Aggregator</x:v>
      </x:c>
      <x:c r="G147" s="12" t="str">
        <x:v>Top-up GoPay</x:v>
      </x:c>
      <x:c r="H147" s="7" t="n">
        <x:v>50000</x:v>
      </x:c>
      <x:c r="I147" s="7" t="n">
        <x:v>1000</x:v>
      </x:c>
      <x:c r="J147" s="7" t="n">
        <x:v>51000</x:v>
      </x:c>
      <x:c r="K147" s="12" t="str">
        <x:v>Berhasil</x:v>
      </x:c>
      <x:c r="L147" s="12" t="str">
        <x:v>Ya</x:v>
      </x:c>
      <x:c r="M147" s="12" t="str">
        <x:v>Ya</x:v>
      </x:c>
      <x:c r="N147" s="12" t="str">
        <x:v>Perlu breakdown wallet</x:v>
      </x:c>
      <x:c r="O147" s="12" t="str">
        <x:v>Top-up</x:v>
      </x:c>
      <x:c r="P147" s="12" t="str">
        <x:v>19e9676e4a9ea617</x:v>
      </x:c>
      <x:c r="Q147" s="13" t="str">
        <x:v>https://mail.google.com/mail/#all/19e9676e4a9ea617</x:v>
      </x:c>
    </x:row>
    <x:row r="148">
      <x:c r="A148" s="11" t="n">
        <x:v>46178</x:v>
      </x:c>
      <x:c r="B148" s="12" t="str">
        <x:v>15:43:55</x:v>
      </x:c>
      <x:c r="C148" s="12" t="str">
        <x:v>Jun 2026</x:v>
      </x:c>
      <x:c r="D148" s="12" t="str">
        <x:v>Pembayaran Berhasil!</x:v>
      </x:c>
      <x:c r="E148" s="12" t="str">
        <x:v>Toko Fitri Cemara</x:v>
      </x:c>
      <x:c r="F148" s="12" t="str">
        <x:v>Belanja Harian/Retail</x:v>
      </x:c>
      <x:c r="G148" s="12" t="str">
        <x:v>Retail/minimarket</x:v>
      </x:c>
      <x:c r="H148" s="7" t="n">
        <x:v>30000</x:v>
      </x:c>
      <x:c r="I148" s="7" t="n">
        <x:v>0</x:v>
      </x:c>
      <x:c r="J148" s="7" t="n">
        <x:v>30000</x:v>
      </x:c>
      <x:c r="K148" s="12" t="str">
        <x:v>Berhasil</x:v>
      </x:c>
      <x:c r="L148" s="12" t="str">
        <x:v>Ya</x:v>
      </x:c>
      <x:c r="M148" s="12" t="str">
        <x:v>Ya</x:v>
      </x:c>
      <x:c r="N148" s="12" t="str">
        <x:v>Normal</x:v>
      </x:c>
      <x:c r="O148" s="12" t="str">
        <x:v>QRIS</x:v>
      </x:c>
      <x:c r="P148" s="12" t="str">
        <x:v>19e96f4671dfda7e</x:v>
      </x:c>
      <x:c r="Q148" s="13" t="str">
        <x:v>https://mail.google.com/mail/#all/19e96f4671dfda7e</x:v>
      </x:c>
    </x:row>
    <x:row r="149">
      <x:c r="A149" s="11" t="n">
        <x:v>46178</x:v>
      </x:c>
      <x:c r="B149" s="12" t="str">
        <x:v>20:01:43</x:v>
      </x:c>
      <x:c r="C149" s="12" t="str">
        <x:v>Jun 2026</x:v>
      </x:c>
      <x:c r="D149" s="12" t="str">
        <x:v>Pembayaran Berhasil!</x:v>
      </x:c>
      <x:c r="E149" s="12" t="str">
        <x:v>MyTelkomsel Apps</x:v>
      </x:c>
      <x:c r="F149" s="12" t="str">
        <x:v>Telekomunikasi</x:v>
      </x:c>
      <x:c r="G149" s="12" t="str">
        <x:v>Pulsa/data</x:v>
      </x:c>
      <x:c r="H149" s="7" t="n">
        <x:v>50000</x:v>
      </x:c>
      <x:c r="I149" s="7" t="n">
        <x:v>0</x:v>
      </x:c>
      <x:c r="J149" s="7" t="n">
        <x:v>50000</x:v>
      </x:c>
      <x:c r="K149" s="12" t="str">
        <x:v>Berhasil</x:v>
      </x:c>
      <x:c r="L149" s="12" t="str">
        <x:v>Ya</x:v>
      </x:c>
      <x:c r="M149" s="12" t="str">
        <x:v>Ya</x:v>
      </x:c>
      <x:c r="N149" s="12" t="str">
        <x:v>Normal</x:v>
      </x:c>
      <x:c r="O149" s="12" t="str">
        <x:v>QRIS</x:v>
      </x:c>
      <x:c r="P149" s="12" t="str">
        <x:v>19e97e02a659487c</x:v>
      </x:c>
      <x:c r="Q149" s="13" t="str">
        <x:v>https://mail.google.com/mail/#all/19e97e02a659487c</x:v>
      </x:c>
    </x:row>
    <x:row r="150">
      <x:c r="A150" s="11" t="n">
        <x:v>46178</x:v>
      </x:c>
      <x:c r="B150" s="12" t="str">
        <x:v>21:28:15</x:v>
      </x:c>
      <x:c r="C150" s="12" t="str">
        <x:v>Jun 2026</x:v>
      </x:c>
      <x:c r="D150" s="12" t="str">
        <x:v>Pembayaran Berhasil!</x:v>
      </x:c>
      <x:c r="E150" s="12" t="str">
        <x:v>SINAR UTAMA - HO</x:v>
      </x:c>
      <x:c r="F150" s="12" t="str">
        <x:v>Belanja Harian/Retail</x:v>
      </x:c>
      <x:c r="G150" s="12" t="str">
        <x:v>Retail/minimarket</x:v>
      </x:c>
      <x:c r="H150" s="7" t="n">
        <x:v>173800</x:v>
      </x:c>
      <x:c r="I150" s="7" t="n">
        <x:v>0</x:v>
      </x:c>
      <x:c r="J150" s="7" t="n">
        <x:v>173800</x:v>
      </x:c>
      <x:c r="K150" s="12" t="str">
        <x:v>Berhasil</x:v>
      </x:c>
      <x:c r="L150" s="12" t="str">
        <x:v>Ya</x:v>
      </x:c>
      <x:c r="M150" s="12" t="str">
        <x:v>Ya</x:v>
      </x:c>
      <x:c r="N150" s="12" t="str">
        <x:v>Normal</x:v>
      </x:c>
      <x:c r="O150" s="12" t="str">
        <x:v>QRIS</x:v>
      </x:c>
      <x:c r="P150" s="12" t="str">
        <x:v>19e982f7ae2f6928</x:v>
      </x:c>
      <x:c r="Q150" s="13" t="str">
        <x:v>https://mail.google.com/mail/#all/19e982f7ae2f6928</x:v>
      </x:c>
    </x:row>
    <x:row r="151">
      <x:c r="A151" s="11" t="n">
        <x:v>46180</x:v>
      </x:c>
      <x:c r="B151" s="12" t="str">
        <x:v>14:19:19</x:v>
      </x:c>
      <x:c r="C151" s="12" t="str">
        <x:v>Jun 2026</x:v>
      </x:c>
      <x:c r="D151" s="12" t="str">
        <x:v>Pembayaran Berhasil!</x:v>
      </x:c>
      <x:c r="E151" s="12" t="str">
        <x:v>GUARDIAN MEDAN DELIPARK</x:v>
      </x:c>
      <x:c r="F151" s="12" t="str">
        <x:v>Kesehatan &amp; Obat</x:v>
      </x:c>
      <x:c r="G151" s="12" t="str">
        <x:v>Health retail</x:v>
      </x:c>
      <x:c r="H151" s="7" t="n">
        <x:v>64500</x:v>
      </x:c>
      <x:c r="I151" s="7" t="n">
        <x:v>0</x:v>
      </x:c>
      <x:c r="J151" s="7" t="n">
        <x:v>64500</x:v>
      </x:c>
      <x:c r="K151" s="12" t="str">
        <x:v>Berhasil</x:v>
      </x:c>
      <x:c r="L151" s="12" t="str">
        <x:v>Ya</x:v>
      </x:c>
      <x:c r="M151" s="12" t="str">
        <x:v>Ya</x:v>
      </x:c>
      <x:c r="N151" s="12" t="str">
        <x:v>Normal</x:v>
      </x:c>
      <x:c r="O151" s="12" t="str">
        <x:v>QRIS</x:v>
      </x:c>
      <x:c r="P151" s="12" t="str">
        <x:v>19ea0f378bcaf0c7</x:v>
      </x:c>
      <x:c r="Q151" s="13" t="str">
        <x:v>https://mail.google.com/mail/#all/19ea0f378bcaf0c7</x:v>
      </x:c>
    </x:row>
    <x:row r="152">
      <x:c r="A152" s="11" t="n">
        <x:v>46180</x:v>
      </x:c>
      <x:c r="B152" s="12" t="str">
        <x:v>14:30:15</x:v>
      </x:c>
      <x:c r="C152" s="12" t="str">
        <x:v>Jun 2026</x:v>
      </x:c>
      <x:c r="D152" s="12" t="str">
        <x:v>Pembayaran Berhasil!</x:v>
      </x:c>
      <x:c r="E152" s="12" t="str">
        <x:v>SOUR SALLY-HO</x:v>
      </x:c>
      <x:c r="F152" s="12" t="str">
        <x:v>Makan &amp; Minum</x:v>
      </x:c>
      <x:c r="G152" s="12" t="str">
        <x:v>Makanan/minuman</x:v>
      </x:c>
      <x:c r="H152" s="7" t="n">
        <x:v>172000</x:v>
      </x:c>
      <x:c r="I152" s="7" t="n">
        <x:v>0</x:v>
      </x:c>
      <x:c r="J152" s="7" t="n">
        <x:v>172000</x:v>
      </x:c>
      <x:c r="K152" s="12" t="str">
        <x:v>Berhasil</x:v>
      </x:c>
      <x:c r="L152" s="12" t="str">
        <x:v>Ya</x:v>
      </x:c>
      <x:c r="M152" s="12" t="str">
        <x:v>Ya</x:v>
      </x:c>
      <x:c r="N152" s="12" t="str">
        <x:v>Normal</x:v>
      </x:c>
      <x:c r="O152" s="12" t="str">
        <x:v>QRIS</x:v>
      </x:c>
      <x:c r="P152" s="12" t="str">
        <x:v>19ea0fd69a9c7594</x:v>
      </x:c>
      <x:c r="Q152" s="13" t="str">
        <x:v>https://mail.google.com/mail/#all/19ea0fd69a9c7594</x:v>
      </x:c>
    </x:row>
    <x:row r="153">
      <x:c r="A153" s="11" t="n">
        <x:v>46180</x:v>
      </x:c>
      <x:c r="B153" s="12" t="str">
        <x:v>20:45:33</x:v>
      </x:c>
      <x:c r="C153" s="12" t="str">
        <x:v>Jun 2026</x:v>
      </x:c>
      <x:c r="D153" s="12" t="str">
        <x:v>Transfer dengan BI Fast Berhasil</x:v>
      </x:c>
      <x:c r="E153" s="12" t="str">
        <x:v>MEILINDA WIDJAJA - Bank Central Asia</x:v>
      </x:c>
      <x:c r="F153" s="12" t="str">
        <x:v>Transfer ke Orang</x:v>
      </x:c>
      <x:c r="G153" s="12" t="str">
        <x:v>Transfer orang</x:v>
      </x:c>
      <x:c r="H153" s="7" t="n">
        <x:v>156000</x:v>
      </x:c>
      <x:c r="I153" s="7" t="n">
        <x:v>2500</x:v>
      </x:c>
      <x:c r="J153" s="7" t="n">
        <x:v>158500</x:v>
      </x:c>
      <x:c r="K153" s="12" t="str">
        <x:v>Berhasil</x:v>
      </x:c>
      <x:c r="L153" s="12" t="str">
        <x:v>Ya</x:v>
      </x:c>
      <x:c r="M153" s="12" t="str">
        <x:v>Ya</x:v>
      </x:c>
      <x:c r="N153" s="12" t="str">
        <x:v>Normal</x:v>
      </x:c>
      <x:c r="O153" s="12" t="str">
        <x:v>Transfer BI Fast</x:v>
      </x:c>
      <x:c r="P153" s="12" t="str">
        <x:v>19ea255039106e63</x:v>
      </x:c>
      <x:c r="Q153" s="13" t="str">
        <x:v>https://mail.google.com/mail/#all/19ea255039106e63</x:v>
      </x:c>
    </x:row>
    <x:row r="154">
      <x:c r="A154" s="11" t="n">
        <x:v>46180</x:v>
      </x:c>
      <x:c r="B154" s="12" t="str">
        <x:v>21:11:28</x:v>
      </x:c>
      <x:c r="C154" s="12" t="str">
        <x:v>Jun 2026</x:v>
      </x:c>
      <x:c r="D154" s="12" t="str">
        <x:v>Pembayaran Berhasil!</x:v>
      </x:c>
      <x:c r="E154" s="12" t="str">
        <x:v>ALGO MEDAN - QRIS</x:v>
      </x:c>
      <x:c r="F154" s="12" t="str">
        <x:v>Belanja Harian/Retail</x:v>
      </x:c>
      <x:c r="G154" s="12" t="str">
        <x:v>Retail/minimarket</x:v>
      </x:c>
      <x:c r="H154" s="7" t="n">
        <x:v>81100</x:v>
      </x:c>
      <x:c r="I154" s="7" t="n">
        <x:v>0</x:v>
      </x:c>
      <x:c r="J154" s="7" t="n">
        <x:v>81100</x:v>
      </x:c>
      <x:c r="K154" s="12" t="str">
        <x:v>Berhasil</x:v>
      </x:c>
      <x:c r="L154" s="12" t="str">
        <x:v>Ya</x:v>
      </x:c>
      <x:c r="M154" s="12" t="str">
        <x:v>Ya</x:v>
      </x:c>
      <x:c r="N154" s="12" t="str">
        <x:v>Normal</x:v>
      </x:c>
      <x:c r="O154" s="12" t="str">
        <x:v>QRIS</x:v>
      </x:c>
      <x:c r="P154" s="12" t="str">
        <x:v>19ea26cc2db11aaf</x:v>
      </x:c>
      <x:c r="Q154" s="13" t="str">
        <x:v>https://mail.google.com/mail/#all/19ea26cc2db11aaf</x:v>
      </x:c>
    </x:row>
    <x:row r="155">
      <x:c r="A155" s="11" t="n">
        <x:v>46181</x:v>
      </x:c>
      <x:c r="B155" s="12" t="str">
        <x:v>07:55:30</x:v>
      </x:c>
      <x:c r="C155" s="12" t="str">
        <x:v>Jun 2026</x:v>
      </x:c>
      <x:c r="D155" s="12" t="str">
        <x:v>Pembayaran Berhasil!</x:v>
      </x:c>
      <x:c r="E155" s="12" t="str">
        <x:v>GRAB TRANSPORT</x:v>
      </x:c>
      <x:c r="F155" s="12" t="str">
        <x:v>Transportasi &amp; BBM</x:v>
      </x:c>
      <x:c r="G155" s="12" t="str">
        <x:v>Transportasi online</x:v>
      </x:c>
      <x:c r="H155" s="7" t="n">
        <x:v>40500</x:v>
      </x:c>
      <x:c r="I155" s="7" t="n">
        <x:v>0</x:v>
      </x:c>
      <x:c r="J155" s="7" t="n">
        <x:v>40500</x:v>
      </x:c>
      <x:c r="K155" s="12" t="str">
        <x:v>Berhasil</x:v>
      </x:c>
      <x:c r="L155" s="12" t="str">
        <x:v>Ya</x:v>
      </x:c>
      <x:c r="M155" s="12" t="str">
        <x:v>Ya</x:v>
      </x:c>
      <x:c r="N155" s="12" t="str">
        <x:v>Normal</x:v>
      </x:c>
      <x:c r="O155" s="12" t="str">
        <x:v>QRIS</x:v>
      </x:c>
      <x:c r="P155" s="12" t="str">
        <x:v>19ea4ba763497c7b</x:v>
      </x:c>
      <x:c r="Q155" s="13" t="str">
        <x:v>https://mail.google.com/mail/#all/19ea4ba763497c7b</x:v>
      </x:c>
    </x:row>
    <x:row r="156">
      <x:c r="A156" s="11" t="n">
        <x:v>46182</x:v>
      </x:c>
      <x:c r="B156" s="12" t="str">
        <x:v>07:35:48</x:v>
      </x:c>
      <x:c r="C156" s="12" t="str">
        <x:v>Jun 2026</x:v>
      </x:c>
      <x:c r="D156" s="12" t="str">
        <x:v>Pembayaran Berhasil!</x:v>
      </x:c>
      <x:c r="E156" s="12" t="str">
        <x:v>IDM QRIS LIVIN</x:v>
      </x:c>
      <x:c r="F156" s="12" t="str">
        <x:v>Belanja Harian/Retail</x:v>
      </x:c>
      <x:c r="G156" s="12" t="str">
        <x:v>Retail/minimarket</x:v>
      </x:c>
      <x:c r="H156" s="7" t="n">
        <x:v>24200</x:v>
      </x:c>
      <x:c r="I156" s="7" t="n">
        <x:v>0</x:v>
      </x:c>
      <x:c r="J156" s="7" t="n">
        <x:v>24200</x:v>
      </x:c>
      <x:c r="K156" s="12" t="str">
        <x:v>Berhasil</x:v>
      </x:c>
      <x:c r="L156" s="12" t="str">
        <x:v>Ya</x:v>
      </x:c>
      <x:c r="M156" s="12" t="str">
        <x:v>Ya</x:v>
      </x:c>
      <x:c r="N156" s="12" t="str">
        <x:v>Normal</x:v>
      </x:c>
      <x:c r="O156" s="12" t="str">
        <x:v>QRIS</x:v>
      </x:c>
      <x:c r="P156" s="12" t="str">
        <x:v>19ea9ceb0f831800</x:v>
      </x:c>
      <x:c r="Q156" s="13" t="str">
        <x:v>https://mail.google.com/mail/#all/19ea9ceb0f831800</x:v>
      </x:c>
    </x:row>
    <x:row r="157">
      <x:c r="A157" s="11" t="n">
        <x:v>46183</x:v>
      </x:c>
      <x:c r="B157" s="12" t="str">
        <x:v>17:07:53</x:v>
      </x:c>
      <x:c r="C157" s="12" t="str">
        <x:v>Jun 2026</x:v>
      </x:c>
      <x:c r="D157" s="12" t="str">
        <x:v>Pembayaran Berhasil!</x:v>
      </x:c>
      <x:c r="E157" s="12" t="str">
        <x:v>Coda Payments</x:v>
      </x:c>
      <x:c r="F157" s="12" t="str">
        <x:v>Digital, Gaming &amp; Aplikasi</x:v>
      </x:c>
      <x:c r="G157" s="12" t="str">
        <x:v>Coda Payments</x:v>
      </x:c>
      <x:c r="H157" s="7" t="n">
        <x:v>159757</x:v>
      </x:c>
      <x:c r="I157" s="7" t="n">
        <x:v>0</x:v>
      </x:c>
      <x:c r="J157" s="7" t="n">
        <x:v>159757</x:v>
      </x:c>
      <x:c r="K157" s="12" t="str">
        <x:v>Berhasil</x:v>
      </x:c>
      <x:c r="L157" s="12" t="str">
        <x:v>Ya</x:v>
      </x:c>
      <x:c r="M157" s="12" t="str">
        <x:v>Ya</x:v>
      </x:c>
      <x:c r="N157" s="12" t="str">
        <x:v>Normal</x:v>
      </x:c>
      <x:c r="O157" s="12" t="str">
        <x:v>QRIS</x:v>
      </x:c>
      <x:c r="P157" s="12" t="str">
        <x:v>19eb100eabf8c39e</x:v>
      </x:c>
      <x:c r="Q157" s="13" t="str">
        <x:v>https://mail.google.com/mail/#all/19eb100eabf8c39e</x:v>
      </x:c>
    </x:row>
    <x:row r="158">
      <x:c r="A158" s="11" t="n">
        <x:v>46184</x:v>
      </x:c>
      <x:c r="B158" s="12" t="str">
        <x:v>18:01:22</x:v>
      </x:c>
      <x:c r="C158" s="12" t="str">
        <x:v>Jun 2026</x:v>
      </x:c>
      <x:c r="D158" s="12" t="str">
        <x:v>Transfer dengan BI Fast Berhasil</x:v>
      </x:c>
      <x:c r="E158" s="12" t="str">
        <x:v>SAMUEL ZAKARIA H - Krom Bank Indonesia</x:v>
      </x:c>
      <x:c r="F158" s="12" t="str">
        <x:v>Transfer Diri/Tabungan</x:v>
      </x:c>
      <x:c r="G158" s="12" t="str">
        <x:v>Rekening sendiri</x:v>
      </x:c>
      <x:c r="H158" s="7" t="n">
        <x:v>1500000</x:v>
      </x:c>
      <x:c r="I158" s="7" t="n">
        <x:v>2500</x:v>
      </x:c>
      <x:c r="J158" s="7" t="n">
        <x:v>1502500</x:v>
      </x:c>
      <x:c r="K158" s="12" t="str">
        <x:v>Berhasil</x:v>
      </x:c>
      <x:c r="L158" s="12" t="str">
        <x:v>Ya</x:v>
      </x:c>
      <x:c r="M158" s="12" t="str">
        <x:v>Tidak</x:v>
      </x:c>
      <x:c r="N158" s="12" t="str">
        <x:v>Bukan konsumsi; cek sebagai tabungan</x:v>
      </x:c>
      <x:c r="O158" s="12" t="str">
        <x:v>Transfer ke rekening sendiri</x:v>
      </x:c>
      <x:c r="P158" s="12" t="str">
        <x:v>19eb6582a5be3525</x:v>
      </x:c>
      <x:c r="Q158" s="13" t="str">
        <x:v>https://mail.google.com/mail/#all/19eb6582a5be3525</x:v>
      </x:c>
    </x:row>
    <x:row r="159">
      <x:c r="A159" s="11" t="n">
        <x:v>46184</x:v>
      </x:c>
      <x:c r="B159" s="12" t="str">
        <x:v>20:27:02</x:v>
      </x:c>
      <x:c r="C159" s="12" t="str">
        <x:v>Jun 2026</x:v>
      </x:c>
      <x:c r="D159" s="12" t="str">
        <x:v>Top-up Berhasil</x:v>
      </x:c>
      <x:c r="E159" s="12" t="str">
        <x:v>Danatopup ****2563</x:v>
      </x:c>
      <x:c r="F159" s="12" t="str">
        <x:v>Dompet Digital &amp; Aggregator</x:v>
      </x:c>
      <x:c r="G159" s="12" t="str">
        <x:v>Top-up DANA</x:v>
      </x:c>
      <x:c r="H159" s="7" t="n">
        <x:v>50000</x:v>
      </x:c>
      <x:c r="I159" s="7" t="n">
        <x:v>1000</x:v>
      </x:c>
      <x:c r="J159" s="7" t="n">
        <x:v>51000</x:v>
      </x:c>
      <x:c r="K159" s="12" t="str">
        <x:v>Berhasil</x:v>
      </x:c>
      <x:c r="L159" s="12" t="str">
        <x:v>Ya</x:v>
      </x:c>
      <x:c r="M159" s="12" t="str">
        <x:v>Ya</x:v>
      </x:c>
      <x:c r="N159" s="12" t="str">
        <x:v>Perlu breakdown wallet</x:v>
      </x:c>
      <x:c r="O159" s="12" t="str">
        <x:v>Top-up</x:v>
      </x:c>
      <x:c r="P159" s="12" t="str">
        <x:v>19eb6dd7fb24afab</x:v>
      </x:c>
      <x:c r="Q159" s="13" t="str">
        <x:v>https://mail.google.com/mail/#all/19eb6dd7fb24afab</x:v>
      </x:c>
    </x:row>
    <x:row r="160">
      <x:c r="A160" s="11" t="n">
        <x:v>46185</x:v>
      </x:c>
      <x:c r="B160" s="12" t="str">
        <x:v>08:22:11</x:v>
      </x:c>
      <x:c r="C160" s="12" t="str">
        <x:v>Jun 2026</x:v>
      </x:c>
      <x:c r="D160" s="12" t="str">
        <x:v>Pembayaran Berhasil!</x:v>
      </x:c>
      <x:c r="E160" s="12" t="str">
        <x:v>Toko Fitri Cemara</x:v>
      </x:c>
      <x:c r="F160" s="12" t="str">
        <x:v>Belanja Harian/Retail</x:v>
      </x:c>
      <x:c r="G160" s="12" t="str">
        <x:v>Retail/minimarket</x:v>
      </x:c>
      <x:c r="H160" s="7" t="n">
        <x:v>13000</x:v>
      </x:c>
      <x:c r="I160" s="7" t="n">
        <x:v>0</x:v>
      </x:c>
      <x:c r="J160" s="7" t="n">
        <x:v>13000</x:v>
      </x:c>
      <x:c r="K160" s="12" t="str">
        <x:v>Berhasil</x:v>
      </x:c>
      <x:c r="L160" s="12" t="str">
        <x:v>Ya</x:v>
      </x:c>
      <x:c r="M160" s="12" t="str">
        <x:v>Ya</x:v>
      </x:c>
      <x:c r="N160" s="12" t="str">
        <x:v>Normal</x:v>
      </x:c>
      <x:c r="O160" s="12" t="str">
        <x:v>QRIS</x:v>
      </x:c>
      <x:c r="P160" s="12" t="str">
        <x:v>19eb96c495bb4962</x:v>
      </x:c>
      <x:c r="Q160" s="13" t="str">
        <x:v>https://mail.google.com/mail/#all/19eb96c495bb4962</x:v>
      </x:c>
    </x:row>
    <x:row r="161">
      <x:c r="A161" s="11" t="n">
        <x:v>46185</x:v>
      </x:c>
      <x:c r="B161" s="12" t="str">
        <x:v>10:19:16</x:v>
      </x:c>
      <x:c r="C161" s="12" t="str">
        <x:v>Jun 2026</x:v>
      </x:c>
      <x:c r="D161" s="12" t="str">
        <x:v>Pembayaran Berhasil!</x:v>
      </x:c>
      <x:c r="E161" s="12" t="str">
        <x:v>Domainesia</x:v>
      </x:c>
      <x:c r="F161" s="12" t="str">
        <x:v>Profesional/Tools</x:v>
      </x:c>
      <x:c r="G161" s="12" t="str">
        <x:v>Domain/hosting</x:v>
      </x:c>
      <x:c r="H161" s="7" t="n">
        <x:v>743483</x:v>
      </x:c>
      <x:c r="I161" s="7" t="n">
        <x:v>0</x:v>
      </x:c>
      <x:c r="J161" s="7" t="n">
        <x:v>743483</x:v>
      </x:c>
      <x:c r="K161" s="12" t="str">
        <x:v>Berhasil</x:v>
      </x:c>
      <x:c r="L161" s="12" t="str">
        <x:v>Ya</x:v>
      </x:c>
      <x:c r="M161" s="12" t="str">
        <x:v>Ya</x:v>
      </x:c>
      <x:c r="N161" s="12" t="str">
        <x:v>Review</x:v>
      </x:c>
      <x:c r="O161" s="12" t="str">
        <x:v>QRIS</x:v>
      </x:c>
      <x:c r="P161" s="12" t="str">
        <x:v>19eb9d7971f44b5e</x:v>
      </x:c>
      <x:c r="Q161" s="13" t="str">
        <x:v>https://mail.google.com/mail/#all/19eb9d7971f44b5e</x:v>
      </x:c>
    </x:row>
    <x:row r="162">
      <x:c r="A162" s="11" t="n">
        <x:v>46185</x:v>
      </x:c>
      <x:c r="B162" s="12" t="str">
        <x:v>17:00:32</x:v>
      </x:c>
      <x:c r="C162" s="12" t="str">
        <x:v>Jun 2026</x:v>
      </x:c>
      <x:c r="D162" s="12" t="str">
        <x:v>Pembayaran Berhasil!</x:v>
      </x:c>
      <x:c r="E162" s="12" t="str">
        <x:v>Yara Ponsel Qr</x:v>
      </x:c>
      <x:c r="F162" s="12" t="str">
        <x:v>Telekomunikasi</x:v>
      </x:c>
      <x:c r="G162" s="12" t="str">
        <x:v>Ponsel/aksesori</x:v>
      </x:c>
      <x:c r="H162" s="7" t="n">
        <x:v>11000</x:v>
      </x:c>
      <x:c r="I162" s="7" t="n">
        <x:v>0</x:v>
      </x:c>
      <x:c r="J162" s="7" t="n">
        <x:v>11000</x:v>
      </x:c>
      <x:c r="K162" s="12" t="str">
        <x:v>Berhasil</x:v>
      </x:c>
      <x:c r="L162" s="12" t="str">
        <x:v>Ya</x:v>
      </x:c>
      <x:c r="M162" s="12" t="str">
        <x:v>Ya</x:v>
      </x:c>
      <x:c r="N162" s="12" t="str">
        <x:v>Normal</x:v>
      </x:c>
      <x:c r="O162" s="12" t="str">
        <x:v>QRIS</x:v>
      </x:c>
      <x:c r="P162" s="12" t="str">
        <x:v>19ebb46e50a15b22</x:v>
      </x:c>
      <x:c r="Q162" s="13" t="str">
        <x:v>https://mail.google.com/mail/#all/19ebb46e50a15b22</x:v>
      </x:c>
    </x:row>
    <x:row r="163">
      <x:c r="A163" s="11" t="n">
        <x:v>46185</x:v>
      </x:c>
      <x:c r="B163" s="12" t="str">
        <x:v>22:50:15</x:v>
      </x:c>
      <x:c r="C163" s="12" t="str">
        <x:v>Jun 2026</x:v>
      </x:c>
      <x:c r="D163" s="12" t="str">
        <x:v>Pembayaran Berhasil!</x:v>
      </x:c>
      <x:c r="E163" s="12" t="str">
        <x:v>Coda Payments</x:v>
      </x:c>
      <x:c r="F163" s="12" t="str">
        <x:v>Digital, Gaming &amp; Aplikasi</x:v>
      </x:c>
      <x:c r="G163" s="12" t="str">
        <x:v>Coda Payments</x:v>
      </x:c>
      <x:c r="H163" s="7" t="n">
        <x:v>84360</x:v>
      </x:c>
      <x:c r="I163" s="7" t="n">
        <x:v>0</x:v>
      </x:c>
      <x:c r="J163" s="7" t="n">
        <x:v>84360</x:v>
      </x:c>
      <x:c r="K163" s="12" t="str">
        <x:v>Berhasil</x:v>
      </x:c>
      <x:c r="L163" s="12" t="str">
        <x:v>Ya</x:v>
      </x:c>
      <x:c r="M163" s="12" t="str">
        <x:v>Ya</x:v>
      </x:c>
      <x:c r="N163" s="12" t="str">
        <x:v>Normal</x:v>
      </x:c>
      <x:c r="O163" s="12" t="str">
        <x:v>QRIS</x:v>
      </x:c>
      <x:c r="P163" s="12" t="str">
        <x:v>19ebc870c82dd22e</x:v>
      </x:c>
      <x:c r="Q163" s="13" t="str">
        <x:v>https://mail.google.com/mail/#all/19ebc870c82dd22e</x:v>
      </x:c>
    </x:row>
    <x:row r="164">
      <x:c r="A164" s="11" t="n">
        <x:v>46186</x:v>
      </x:c>
      <x:c r="B164" s="12" t="str">
        <x:v>16:44:42</x:v>
      </x:c>
      <x:c r="C164" s="12" t="str">
        <x:v>Jun 2026</x:v>
      </x:c>
      <x:c r="D164" s="12" t="str">
        <x:v>Pembayaran Berhasil!</x:v>
      </x:c>
      <x:c r="E164" s="12" t="str">
        <x:v>IDM QRIS LIVIN</x:v>
      </x:c>
      <x:c r="F164" s="12" t="str">
        <x:v>Belanja Harian/Retail</x:v>
      </x:c>
      <x:c r="G164" s="12" t="str">
        <x:v>Retail/minimarket</x:v>
      </x:c>
      <x:c r="H164" s="7" t="n">
        <x:v>14200</x:v>
      </x:c>
      <x:c r="I164" s="7" t="n">
        <x:v>0</x:v>
      </x:c>
      <x:c r="J164" s="7" t="n">
        <x:v>14200</x:v>
      </x:c>
      <x:c r="K164" s="12" t="str">
        <x:v>Berhasil</x:v>
      </x:c>
      <x:c r="L164" s="12" t="str">
        <x:v>Ya</x:v>
      </x:c>
      <x:c r="M164" s="12" t="str">
        <x:v>Ya</x:v>
      </x:c>
      <x:c r="N164" s="12" t="str">
        <x:v>Normal</x:v>
      </x:c>
      <x:c r="O164" s="12" t="str">
        <x:v>QRIS</x:v>
      </x:c>
      <x:c r="P164" s="12" t="str">
        <x:v>19ec05eafa2463ef</x:v>
      </x:c>
      <x:c r="Q164" s="13" t="str">
        <x:v>https://mail.google.com/mail/#all/19ec05eafa2463ef</x:v>
      </x:c>
    </x:row>
    <x:row r="165">
      <x:c r="A165" s="11" t="n">
        <x:v>46186</x:v>
      </x:c>
      <x:c r="B165" s="12" t="str">
        <x:v>18:48:02</x:v>
      </x:c>
      <x:c r="C165" s="12" t="str">
        <x:v>Jun 2026</x:v>
      </x:c>
      <x:c r="D165" s="12" t="str">
        <x:v>Pembayaran Berhasil!</x:v>
      </x:c>
      <x:c r="E165" s="12" t="str">
        <x:v>XVET - MR.D.I.Y FS RUKO M</x:v>
      </x:c>
      <x:c r="F165" s="12" t="str">
        <x:v>Belanja Harian/Retail</x:v>
      </x:c>
      <x:c r="G165" s="12" t="str">
        <x:v>Retail/minimarket</x:v>
      </x:c>
      <x:c r="H165" s="7" t="n">
        <x:v>312000</x:v>
      </x:c>
      <x:c r="I165" s="7" t="n">
        <x:v>0</x:v>
      </x:c>
      <x:c r="J165" s="7" t="n">
        <x:v>312000</x:v>
      </x:c>
      <x:c r="K165" s="12" t="str">
        <x:v>Berhasil</x:v>
      </x:c>
      <x:c r="L165" s="12" t="str">
        <x:v>Ya</x:v>
      </x:c>
      <x:c r="M165" s="12" t="str">
        <x:v>Ya</x:v>
      </x:c>
      <x:c r="N165" s="12" t="str">
        <x:v>Normal</x:v>
      </x:c>
      <x:c r="O165" s="12" t="str">
        <x:v>QRIS</x:v>
      </x:c>
      <x:c r="P165" s="12" t="str">
        <x:v>19ec0cf9e29759b4</x:v>
      </x:c>
      <x:c r="Q165" s="13" t="str">
        <x:v>https://mail.google.com/mail/#all/19ec0cf9e29759b4</x:v>
      </x:c>
    </x:row>
    <x:row r="166">
      <x:c r="A166" s="11" t="n">
        <x:v>46186</x:v>
      </x:c>
      <x:c r="B166" s="12" t="str">
        <x:v>18:49:44</x:v>
      </x:c>
      <x:c r="C166" s="12" t="str">
        <x:v>Jun 2026</x:v>
      </x:c>
      <x:c r="D166" s="12" t="str">
        <x:v>Top-up Berhasil</x:v>
      </x:c>
      <x:c r="E166" s="12" t="str">
        <x:v>GoPay Customer ****9604</x:v>
      </x:c>
      <x:c r="F166" s="12" t="str">
        <x:v>Dompet Digital &amp; Aggregator</x:v>
      </x:c>
      <x:c r="G166" s="12" t="str">
        <x:v>Top-up GoPay</x:v>
      </x:c>
      <x:c r="H166" s="7" t="n">
        <x:v>50000</x:v>
      </x:c>
      <x:c r="I166" s="7" t="n">
        <x:v>1000</x:v>
      </x:c>
      <x:c r="J166" s="7" t="n">
        <x:v>51000</x:v>
      </x:c>
      <x:c r="K166" s="12" t="str">
        <x:v>Berhasil</x:v>
      </x:c>
      <x:c r="L166" s="12" t="str">
        <x:v>Ya</x:v>
      </x:c>
      <x:c r="M166" s="12" t="str">
        <x:v>Ya</x:v>
      </x:c>
      <x:c r="N166" s="12" t="str">
        <x:v>Perlu breakdown wallet</x:v>
      </x:c>
      <x:c r="O166" s="12" t="str">
        <x:v>Top-up</x:v>
      </x:c>
      <x:c r="P166" s="12" t="str">
        <x:v>19ec0d1253d472d1</x:v>
      </x:c>
      <x:c r="Q166" s="13" t="str">
        <x:v>https://mail.google.com/mail/#all/19ec0d1253d472d1</x:v>
      </x:c>
    </x:row>
    <x:row r="167">
      <x:c r="A167" s="11" t="n">
        <x:v>46186</x:v>
      </x:c>
      <x:c r="B167" s="12" t="str">
        <x:v>18:50:51</x:v>
      </x:c>
      <x:c r="C167" s="12" t="str">
        <x:v>Jun 2026</x:v>
      </x:c>
      <x:c r="D167" s="12" t="str">
        <x:v>Top-up Berhasil</x:v>
      </x:c>
      <x:c r="E167" s="12" t="str">
        <x:v>GoPay Customer ****9604</x:v>
      </x:c>
      <x:c r="F167" s="12" t="str">
        <x:v>Dompet Digital &amp; Aggregator</x:v>
      </x:c>
      <x:c r="G167" s="12" t="str">
        <x:v>Top-up GoPay</x:v>
      </x:c>
      <x:c r="H167" s="7" t="n">
        <x:v>50000</x:v>
      </x:c>
      <x:c r="I167" s="7" t="n">
        <x:v>1000</x:v>
      </x:c>
      <x:c r="J167" s="7" t="n">
        <x:v>51000</x:v>
      </x:c>
      <x:c r="K167" s="12" t="str">
        <x:v>Berhasil</x:v>
      </x:c>
      <x:c r="L167" s="12" t="str">
        <x:v>Ya</x:v>
      </x:c>
      <x:c r="M167" s="12" t="str">
        <x:v>Ya</x:v>
      </x:c>
      <x:c r="N167" s="12" t="str">
        <x:v>Perlu breakdown wallet</x:v>
      </x:c>
      <x:c r="O167" s="12" t="str">
        <x:v>Top-up</x:v>
      </x:c>
      <x:c r="P167" s="12" t="str">
        <x:v>19ec0d2281c17049</x:v>
      </x:c>
      <x:c r="Q167" s="13" t="str">
        <x:v>https://mail.google.com/mail/#all/19ec0d2281c17049</x:v>
      </x:c>
    </x:row>
    <x:row r="168">
      <x:c r="A168" s="11" t="n">
        <x:v>46186</x:v>
      </x:c>
      <x:c r="B168" s="12" t="str">
        <x:v>20:11:44</x:v>
      </x:c>
      <x:c r="C168" s="12" t="str">
        <x:v>Jun 2026</x:v>
      </x:c>
      <x:c r="D168" s="12" t="str">
        <x:v>Pembayaran Berhasil!</x:v>
      </x:c>
      <x:c r="E168" s="12" t="str">
        <x:v>MIE SOP BLITAR WARISAN</x:v>
      </x:c>
      <x:c r="F168" s="12" t="str">
        <x:v>Makan &amp; Minum</x:v>
      </x:c>
      <x:c r="G168" s="12" t="str">
        <x:v>Makanan/minuman</x:v>
      </x:c>
      <x:c r="H168" s="7" t="n">
        <x:v>85000</x:v>
      </x:c>
      <x:c r="I168" s="7" t="n">
        <x:v>0</x:v>
      </x:c>
      <x:c r="J168" s="7" t="n">
        <x:v>85000</x:v>
      </x:c>
      <x:c r="K168" s="12" t="str">
        <x:v>Berhasil</x:v>
      </x:c>
      <x:c r="L168" s="12" t="str">
        <x:v>Ya</x:v>
      </x:c>
      <x:c r="M168" s="12" t="str">
        <x:v>Ya</x:v>
      </x:c>
      <x:c r="N168" s="12" t="str">
        <x:v>Normal</x:v>
      </x:c>
      <x:c r="O168" s="12" t="str">
        <x:v>QRIS</x:v>
      </x:c>
      <x:c r="P168" s="12" t="str">
        <x:v>19ec11c3d62cf442</x:v>
      </x:c>
      <x:c r="Q168" s="13" t="str">
        <x:v>https://mail.google.com/mail/#all/19ec11c3d62cf442</x:v>
      </x:c>
    </x:row>
    <x:row r="169">
      <x:c r="A169" s="11" t="n">
        <x:v>46187</x:v>
      </x:c>
      <x:c r="B169" s="12" t="str">
        <x:v>20:33:33</x:v>
      </x:c>
      <x:c r="C169" s="12" t="str">
        <x:v>Jun 2026</x:v>
      </x:c>
      <x:c r="D169" s="12" t="str">
        <x:v>Pembayaran Berhasil!</x:v>
      </x:c>
      <x:c r="E169" s="12" t="str">
        <x:v>Luna*ES KRIM POKAT AU CAB</x:v>
      </x:c>
      <x:c r="F169" s="12" t="str">
        <x:v>Makan &amp; Minum</x:v>
      </x:c>
      <x:c r="G169" s="12" t="str">
        <x:v>Makanan/minuman</x:v>
      </x:c>
      <x:c r="H169" s="7" t="n">
        <x:v>46000</x:v>
      </x:c>
      <x:c r="I169" s="7" t="n">
        <x:v>0</x:v>
      </x:c>
      <x:c r="J169" s="7" t="n">
        <x:v>46000</x:v>
      </x:c>
      <x:c r="K169" s="12" t="str">
        <x:v>Berhasil</x:v>
      </x:c>
      <x:c r="L169" s="12" t="str">
        <x:v>Ya</x:v>
      </x:c>
      <x:c r="M169" s="12" t="str">
        <x:v>Ya</x:v>
      </x:c>
      <x:c r="N169" s="12" t="str">
        <x:v>Normal</x:v>
      </x:c>
      <x:c r="O169" s="12" t="str">
        <x:v>QRIS</x:v>
      </x:c>
      <x:c r="P169" s="12" t="str">
        <x:v>19ec656911645f1d</x:v>
      </x:c>
      <x:c r="Q169" s="13" t="str">
        <x:v>https://mail.google.com/mail/#all/19ec656911645f1d</x:v>
      </x:c>
    </x:row>
    <x:row r="170">
      <x:c r="A170" s="11" t="n">
        <x:v>46188</x:v>
      </x:c>
      <x:c r="B170" s="12" t="str">
        <x:v>17:48:42</x:v>
      </x:c>
      <x:c r="C170" s="12" t="str">
        <x:v>Jun 2026</x:v>
      </x:c>
      <x:c r="D170" s="12" t="str">
        <x:v>Transfer dengan BI Fast Berhasil</x:v>
      </x:c>
      <x:c r="E170" s="12" t="str">
        <x:v>JOICE MELATI H - Bank Negara Indonesia</x:v>
      </x:c>
      <x:c r="F170" s="12" t="str">
        <x:v>Transfer ke Orang</x:v>
      </x:c>
      <x:c r="G170" s="12" t="str">
        <x:v>Transfer orang</x:v>
      </x:c>
      <x:c r="H170" s="7" t="n">
        <x:v>200000</x:v>
      </x:c>
      <x:c r="I170" s="7" t="n">
        <x:v>2500</x:v>
      </x:c>
      <x:c r="J170" s="7" t="n">
        <x:v>202500</x:v>
      </x:c>
      <x:c r="K170" s="12" t="str">
        <x:v>Berhasil</x:v>
      </x:c>
      <x:c r="L170" s="12" t="str">
        <x:v>Ya</x:v>
      </x:c>
      <x:c r="M170" s="12" t="str">
        <x:v>Ya</x:v>
      </x:c>
      <x:c r="N170" s="12" t="str">
        <x:v>Normal</x:v>
      </x:c>
      <x:c r="O170" s="12" t="str">
        <x:v>Transfer BI Fast</x:v>
      </x:c>
      <x:c r="P170" s="12" t="str">
        <x:v>19ecae5fdb95c6fc</x:v>
      </x:c>
      <x:c r="Q170" s="13" t="str">
        <x:v>https://mail.google.com/mail/#all/19ecae5fdb95c6fc</x:v>
      </x:c>
    </x:row>
    <x:row r="171">
      <x:c r="A171" s="11" t="n">
        <x:v>46188</x:v>
      </x:c>
      <x:c r="B171" s="12" t="str">
        <x:v>18:16:42</x:v>
      </x:c>
      <x:c r="C171" s="12" t="str">
        <x:v>Jun 2026</x:v>
      </x:c>
      <x:c r="D171" s="12" t="str">
        <x:v>Pembayaran Berhasil!</x:v>
      </x:c>
      <x:c r="E171" s="12" t="str">
        <x:v>Toko Obat Uli Parna</x:v>
      </x:c>
      <x:c r="F171" s="12" t="str">
        <x:v>Kesehatan &amp; Obat</x:v>
      </x:c>
      <x:c r="G171" s="12" t="str">
        <x:v>Obat/apotek</x:v>
      </x:c>
      <x:c r="H171" s="7" t="n">
        <x:v>40000</x:v>
      </x:c>
      <x:c r="I171" s="7" t="n">
        <x:v>0</x:v>
      </x:c>
      <x:c r="J171" s="7" t="n">
        <x:v>40000</x:v>
      </x:c>
      <x:c r="K171" s="12" t="str">
        <x:v>Berhasil</x:v>
      </x:c>
      <x:c r="L171" s="12" t="str">
        <x:v>Ya</x:v>
      </x:c>
      <x:c r="M171" s="12" t="str">
        <x:v>Ya</x:v>
      </x:c>
      <x:c r="N171" s="12" t="str">
        <x:v>Normal</x:v>
      </x:c>
      <x:c r="O171" s="12" t="str">
        <x:v>QRIS</x:v>
      </x:c>
      <x:c r="P171" s="12" t="str">
        <x:v>19ecaffaaeb34bcc</x:v>
      </x:c>
      <x:c r="Q171" s="13" t="str">
        <x:v>https://mail.google.com/mail/#all/19ecaffaaeb34bcc</x:v>
      </x:c>
    </x:row>
    <x:row r="172">
      <x:c r="A172" s="11" t="n">
        <x:v>46188</x:v>
      </x:c>
      <x:c r="B172" s="12" t="str">
        <x:v>18:21:06</x:v>
      </x:c>
      <x:c r="C172" s="12" t="str">
        <x:v>Jun 2026</x:v>
      </x:c>
      <x:c r="D172" s="12" t="str">
        <x:v>Pembayaran Berhasil!</x:v>
      </x:c>
      <x:c r="E172" s="12" t="str">
        <x:v>ALGO MEDAN - QRIS</x:v>
      </x:c>
      <x:c r="F172" s="12" t="str">
        <x:v>Belanja Harian/Retail</x:v>
      </x:c>
      <x:c r="G172" s="12" t="str">
        <x:v>Retail/minimarket</x:v>
      </x:c>
      <x:c r="H172" s="7" t="n">
        <x:v>114400</x:v>
      </x:c>
      <x:c r="I172" s="7" t="n">
        <x:v>0</x:v>
      </x:c>
      <x:c r="J172" s="7" t="n">
        <x:v>114400</x:v>
      </x:c>
      <x:c r="K172" s="12" t="str">
        <x:v>Berhasil</x:v>
      </x:c>
      <x:c r="L172" s="12" t="str">
        <x:v>Ya</x:v>
      </x:c>
      <x:c r="M172" s="12" t="str">
        <x:v>Ya</x:v>
      </x:c>
      <x:c r="N172" s="12" t="str">
        <x:v>Normal</x:v>
      </x:c>
      <x:c r="O172" s="12" t="str">
        <x:v>QRIS</x:v>
      </x:c>
      <x:c r="P172" s="12" t="str">
        <x:v>19ecb03ab426ef3e</x:v>
      </x:c>
      <x:c r="Q172" s="13" t="str">
        <x:v>https://mail.google.com/mail/#all/19ecb03ab426ef3e</x:v>
      </x:c>
    </x:row>
    <x:row r="173">
      <x:c r="A173" s="11" t="n">
        <x:v>46188</x:v>
      </x:c>
      <x:c r="B173" s="12" t="str">
        <x:v>19:17:31</x:v>
      </x:c>
      <x:c r="C173" s="12" t="str">
        <x:v>Jun 2026</x:v>
      </x:c>
      <x:c r="D173" s="12" t="str">
        <x:v>Pembayaran Berhasil!</x:v>
      </x:c>
      <x:c r="E173" s="12" t="str">
        <x:v>Coda Payments</x:v>
      </x:c>
      <x:c r="F173" s="12" t="str">
        <x:v>Digital, Gaming &amp; Aplikasi</x:v>
      </x:c>
      <x:c r="G173" s="12" t="str">
        <x:v>Coda Payments</x:v>
      </x:c>
      <x:c r="H173" s="7" t="n">
        <x:v>159757</x:v>
      </x:c>
      <x:c r="I173" s="7" t="n">
        <x:v>0</x:v>
      </x:c>
      <x:c r="J173" s="7" t="n">
        <x:v>159757</x:v>
      </x:c>
      <x:c r="K173" s="12" t="str">
        <x:v>Berhasil</x:v>
      </x:c>
      <x:c r="L173" s="12" t="str">
        <x:v>Ya</x:v>
      </x:c>
      <x:c r="M173" s="12" t="str">
        <x:v>Ya</x:v>
      </x:c>
      <x:c r="N173" s="12" t="str">
        <x:v>Normal</x:v>
      </x:c>
      <x:c r="O173" s="12" t="str">
        <x:v>QRIS</x:v>
      </x:c>
      <x:c r="P173" s="12" t="str">
        <x:v>19ecb376d476a5c0</x:v>
      </x:c>
      <x:c r="Q173" s="13" t="str">
        <x:v>https://mail.google.com/mail/#all/19ecb376d476a5c0</x:v>
      </x:c>
    </x:row>
    <x:row r="174">
      <x:c r="A174" s="11" t="n">
        <x:v>46192</x:v>
      </x:c>
      <x:c r="B174" s="12" t="str">
        <x:v>12:00:31</x:v>
      </x:c>
      <x:c r="C174" s="12" t="str">
        <x:v>Jun 2026</x:v>
      </x:c>
      <x:c r="D174" s="12" t="str">
        <x:v>Transfer Berhasil</x:v>
      </x:c>
      <x:c r="E174" s="12" t="str">
        <x:v>TOTO PRAYETNO</x:v>
      </x:c>
      <x:c r="F174" s="12" t="str">
        <x:v>Transfer ke Orang</x:v>
      </x:c>
      <x:c r="G174" s="12" t="str">
        <x:v>Makanan via transfer</x:v>
      </x:c>
      <x:c r="H174" s="7" t="n">
        <x:v>39000</x:v>
      </x:c>
      <x:c r="I174" s="7" t="n">
        <x:v>0</x:v>
      </x:c>
      <x:c r="J174" s="7" t="n">
        <x:v>39000</x:v>
      </x:c>
      <x:c r="K174" s="12" t="str">
        <x:v>Berhasil</x:v>
      </x:c>
      <x:c r="L174" s="12" t="str">
        <x:v>Ya</x:v>
      </x:c>
      <x:c r="M174" s="12" t="str">
        <x:v>Ya</x:v>
      </x:c>
      <x:c r="N174" s="12" t="str">
        <x:v>Normal</x:v>
      </x:c>
      <x:c r="O174" s="12" t="str">
        <x:v>Transfer QR, keterangan keju boss</x:v>
      </x:c>
      <x:c r="P174" s="12" t="str">
        <x:v>19ede40b66bccd5e</x:v>
      </x:c>
      <x:c r="Q174" s="13" t="str">
        <x:v>https://mail.google.com/mail/#all/19ede40b66bccd5e</x:v>
      </x:c>
    </x:row>
    <x:row r="175">
      <x:c r="A175" s="11" t="n">
        <x:v>46192</x:v>
      </x:c>
      <x:c r="B175" s="12" t="str">
        <x:v>15:57:47</x:v>
      </x:c>
      <x:c r="C175" s="12" t="str">
        <x:v>Jun 2026</x:v>
      </x:c>
      <x:c r="D175" s="12" t="str">
        <x:v>Pembayaran Berhasil!</x:v>
      </x:c>
      <x:c r="E175" s="12" t="str">
        <x:v>Sbux Cemara Asri Medan</x:v>
      </x:c>
      <x:c r="F175" s="12" t="str">
        <x:v>Makan &amp; Minum</x:v>
      </x:c>
      <x:c r="G175" s="12" t="str">
        <x:v>Makanan/minuman</x:v>
      </x:c>
      <x:c r="H175" s="7" t="n">
        <x:v>65000</x:v>
      </x:c>
      <x:c r="I175" s="7" t="n">
        <x:v>0</x:v>
      </x:c>
      <x:c r="J175" s="7" t="n">
        <x:v>65000</x:v>
      </x:c>
      <x:c r="K175" s="12" t="str">
        <x:v>Berhasil</x:v>
      </x:c>
      <x:c r="L175" s="12" t="str">
        <x:v>Ya</x:v>
      </x:c>
      <x:c r="M175" s="12" t="str">
        <x:v>Ya</x:v>
      </x:c>
      <x:c r="N175" s="12" t="str">
        <x:v>Normal</x:v>
      </x:c>
      <x:c r="O175" s="12" t="str">
        <x:v>QRIS</x:v>
      </x:c>
      <x:c r="P175" s="12" t="str">
        <x:v>19edf1a092cb1a7a</x:v>
      </x:c>
      <x:c r="Q175" s="13" t="str">
        <x:v>https://mail.google.com/mail/#all/19edf1a092cb1a7a</x:v>
      </x:c>
    </x:row>
    <x:row r="176">
      <x:c r="A176" s="11" t="n">
        <x:v>46193</x:v>
      </x:c>
      <x:c r="B176" s="12" t="str">
        <x:v>00:21:17</x:v>
      </x:c>
      <x:c r="C176" s="12" t="str">
        <x:v>Jun 2026</x:v>
      </x:c>
      <x:c r="D176" s="12" t="str">
        <x:v>Pembayaran Berhasil!</x:v>
      </x:c>
      <x:c r="E176" s="12" t="str">
        <x:v>APOTEK KF 027</x:v>
      </x:c>
      <x:c r="F176" s="12" t="str">
        <x:v>Kesehatan &amp; Obat</x:v>
      </x:c>
      <x:c r="G176" s="12" t="str">
        <x:v>Obat/apotek</x:v>
      </x:c>
      <x:c r="H176" s="7" t="n">
        <x:v>32100</x:v>
      </x:c>
      <x:c r="I176" s="7" t="n">
        <x:v>0</x:v>
      </x:c>
      <x:c r="J176" s="7" t="n">
        <x:v>32100</x:v>
      </x:c>
      <x:c r="K176" s="12" t="str">
        <x:v>Berhasil</x:v>
      </x:c>
      <x:c r="L176" s="12" t="str">
        <x:v>Ya</x:v>
      </x:c>
      <x:c r="M176" s="12" t="str">
        <x:v>Ya</x:v>
      </x:c>
      <x:c r="N176" s="12" t="str">
        <x:v>Normal</x:v>
      </x:c>
      <x:c r="O176" s="12" t="str">
        <x:v>QRIS</x:v>
      </x:c>
      <x:c r="P176" s="12" t="str">
        <x:v>19ee0e6d106f6dba</x:v>
      </x:c>
      <x:c r="Q176" s="13" t="str">
        <x:v>https://mail.google.com/mail/#all/19ee0e6d106f6dba</x:v>
      </x:c>
    </x:row>
    <x:row r="177">
      <x:c r="A177" s="11" t="n">
        <x:v>46193</x:v>
      </x:c>
      <x:c r="B177" s="12" t="str">
        <x:v>20:28:00</x:v>
      </x:c>
      <x:c r="C177" s="12" t="str">
        <x:v>Jun 2026</x:v>
      </x:c>
      <x:c r="D177" s="12" t="str">
        <x:v>Transfer Berhasil</x:v>
      </x:c>
      <x:c r="E177" s="12" t="str">
        <x:v>JESSICA EVANGELI</x:v>
      </x:c>
      <x:c r="F177" s="12" t="str">
        <x:v>Transfer ke Orang</x:v>
      </x:c>
      <x:c r="G177" s="12" t="str">
        <x:v>Transfer orang</x:v>
      </x:c>
      <x:c r="H177" s="7" t="n">
        <x:v>6500</x:v>
      </x:c>
      <x:c r="I177" s="7" t="n">
        <x:v>0</x:v>
      </x:c>
      <x:c r="J177" s="7" t="n">
        <x:v>6500</x:v>
      </x:c>
      <x:c r="K177" s="12" t="str">
        <x:v>Berhasil</x:v>
      </x:c>
      <x:c r="L177" s="12" t="str">
        <x:v>Ya</x:v>
      </x:c>
      <x:c r="M177" s="12" t="str">
        <x:v>Ya</x:v>
      </x:c>
      <x:c r="N177" s="12" t="str">
        <x:v>Normal</x:v>
      </x:c>
      <x:c r="O177" s="12" t="str">
        <x:v>Transfer</x:v>
      </x:c>
      <x:c r="P177" s="12" t="str">
        <x:v>19ee537a3f4d5565</x:v>
      </x:c>
      <x:c r="Q177" s="13" t="str">
        <x:v>https://mail.google.com/mail/#all/19ee537a3f4d5565</x:v>
      </x:c>
    </x:row>
    <x:row r="178">
      <x:c r="A178" s="11" t="n">
        <x:v>46194</x:v>
      </x:c>
      <x:c r="B178" s="12" t="str">
        <x:v>19:03:28</x:v>
      </x:c>
      <x:c r="C178" s="12" t="str">
        <x:v>Jun 2026</x:v>
      </x:c>
      <x:c r="D178" s="12" t="str">
        <x:v>Pembayaran Berhasil!</x:v>
      </x:c>
      <x:c r="E178" s="12" t="str">
        <x:v>Coda Payments</x:v>
      </x:c>
      <x:c r="F178" s="12" t="str">
        <x:v>Digital, Gaming &amp; Aplikasi</x:v>
      </x:c>
      <x:c r="G178" s="12" t="str">
        <x:v>Coda Payments</x:v>
      </x:c>
      <x:c r="H178" s="7" t="n">
        <x:v>85204</x:v>
      </x:c>
      <x:c r="I178" s="7" t="n">
        <x:v>0</x:v>
      </x:c>
      <x:c r="J178" s="7" t="n">
        <x:v>85204</x:v>
      </x:c>
      <x:c r="K178" s="12" t="str">
        <x:v>Berhasil</x:v>
      </x:c>
      <x:c r="L178" s="12" t="str">
        <x:v>Ya</x:v>
      </x:c>
      <x:c r="M178" s="12" t="str">
        <x:v>Ya</x:v>
      </x:c>
      <x:c r="N178" s="12" t="str">
        <x:v>Normal</x:v>
      </x:c>
      <x:c r="O178" s="12" t="str">
        <x:v>QRIS</x:v>
      </x:c>
      <x:c r="P178" s="12" t="str">
        <x:v>19eea109336aa267</x:v>
      </x:c>
      <x:c r="Q178" s="13" t="str">
        <x:v>https://mail.google.com/mail/#all/19eea109336aa267</x:v>
      </x:c>
    </x:row>
    <x:row r="179">
      <x:c r="A179" s="11" t="n">
        <x:v>46195</x:v>
      </x:c>
      <x:c r="B179" s="12" t="str">
        <x:v>18:13:04</x:v>
      </x:c>
      <x:c r="C179" s="12" t="str">
        <x:v>Jun 2026</x:v>
      </x:c>
      <x:c r="D179" s="12" t="str">
        <x:v>Pembayaran Berhasil!</x:v>
      </x:c>
      <x:c r="E179" s="12" t="str">
        <x:v>SPBU 14.2021119,SUTOMO</x:v>
      </x:c>
      <x:c r="F179" s="12" t="str">
        <x:v>Transportasi &amp; BBM</x:v>
      </x:c>
      <x:c r="G179" s="12" t="str">
        <x:v>BBM</x:v>
      </x:c>
      <x:c r="H179" s="7" t="n">
        <x:v>59440</x:v>
      </x:c>
      <x:c r="I179" s="7" t="n">
        <x:v>0</x:v>
      </x:c>
      <x:c r="J179" s="7" t="n">
        <x:v>59440</x:v>
      </x:c>
      <x:c r="K179" s="12" t="str">
        <x:v>Berhasil</x:v>
      </x:c>
      <x:c r="L179" s="12" t="str">
        <x:v>Ya</x:v>
      </x:c>
      <x:c r="M179" s="12" t="str">
        <x:v>Ya</x:v>
      </x:c>
      <x:c r="N179" s="12" t="str">
        <x:v>Normal</x:v>
      </x:c>
      <x:c r="O179" s="12" t="str">
        <x:v>QRIS</x:v>
      </x:c>
      <x:c r="P179" s="12" t="str">
        <x:v>19eef08d5b310275</x:v>
      </x:c>
      <x:c r="Q179" s="13" t="str">
        <x:v>https://mail.google.com/mail/#all/19eef08d5b310275</x:v>
      </x:c>
    </x:row>
    <x:row r="180">
      <x:c r="A180" s="11" t="n">
        <x:v>46196</x:v>
      </x:c>
      <x:c r="B180" s="12" t="str">
        <x:v>07:27:29</x:v>
      </x:c>
      <x:c r="C180" s="12" t="str">
        <x:v>Jun 2026</x:v>
      </x:c>
      <x:c r="D180" s="12" t="str">
        <x:v>Pembayaran Berhasil!</x:v>
      </x:c>
      <x:c r="E180" s="12" t="str">
        <x:v>Toko Obat Uli Parna</x:v>
      </x:c>
      <x:c r="F180" s="12" t="str">
        <x:v>Kesehatan &amp; Obat</x:v>
      </x:c>
      <x:c r="G180" s="12" t="str">
        <x:v>Obat/apotek</x:v>
      </x:c>
      <x:c r="H180" s="7" t="n">
        <x:v>31000</x:v>
      </x:c>
      <x:c r="I180" s="7" t="n">
        <x:v>0</x:v>
      </x:c>
      <x:c r="J180" s="7" t="n">
        <x:v>31000</x:v>
      </x:c>
      <x:c r="K180" s="12" t="str">
        <x:v>Berhasil</x:v>
      </x:c>
      <x:c r="L180" s="12" t="str">
        <x:v>Ya</x:v>
      </x:c>
      <x:c r="M180" s="12" t="str">
        <x:v>Ya</x:v>
      </x:c>
      <x:c r="N180" s="12" t="str">
        <x:v>Normal</x:v>
      </x:c>
      <x:c r="O180" s="12" t="str">
        <x:v>QRIS</x:v>
      </x:c>
      <x:c r="P180" s="12" t="str">
        <x:v>19ef1e02ed0cf9f0</x:v>
      </x:c>
      <x:c r="Q180" s="13" t="str">
        <x:v>https://mail.google.com/mail/#all/19ef1e02ed0cf9f0</x:v>
      </x:c>
    </x:row>
    <x:row r="181">
      <x:c r="A181" s="11" t="n">
        <x:v>46196</x:v>
      </x:c>
      <x:c r="B181" s="12" t="str">
        <x:v>15:50:39</x:v>
      </x:c>
      <x:c r="C181" s="12" t="str">
        <x:v>Jun 2026</x:v>
      </x:c>
      <x:c r="D181" s="12" t="str">
        <x:v>Top-up Berhasil</x:v>
      </x:c>
      <x:c r="E181" s="12" t="str">
        <x:v>GoPay Customer ****9604</x:v>
      </x:c>
      <x:c r="F181" s="12" t="str">
        <x:v>Dompet Digital &amp; Aggregator</x:v>
      </x:c>
      <x:c r="G181" s="12" t="str">
        <x:v>Top-up GoPay</x:v>
      </x:c>
      <x:c r="H181" s="7" t="n">
        <x:v>15000</x:v>
      </x:c>
      <x:c r="I181" s="7" t="n">
        <x:v>1000</x:v>
      </x:c>
      <x:c r="J181" s="7" t="n">
        <x:v>16000</x:v>
      </x:c>
      <x:c r="K181" s="12" t="str">
        <x:v>Berhasil</x:v>
      </x:c>
      <x:c r="L181" s="12" t="str">
        <x:v>Ya</x:v>
      </x:c>
      <x:c r="M181" s="12" t="str">
        <x:v>Ya</x:v>
      </x:c>
      <x:c r="N181" s="12" t="str">
        <x:v>Perlu breakdown wallet</x:v>
      </x:c>
      <x:c r="O181" s="12" t="str">
        <x:v>Top-up</x:v>
      </x:c>
      <x:c r="P181" s="12" t="str">
        <x:v>19ef3acd3ff61e4e</x:v>
      </x:c>
      <x:c r="Q181" s="13" t="str">
        <x:v>https://mail.google.com/mail/#all/19ef3acd3ff61e4e</x:v>
      </x:c>
    </x:row>
    <x:row r="182">
      <x:c r="A182" s="11" t="n">
        <x:v>46196</x:v>
      </x:c>
      <x:c r="B182" s="12" t="str">
        <x:v>17:59:33</x:v>
      </x:c>
      <x:c r="C182" s="12" t="str">
        <x:v>Jun 2026</x:v>
      </x:c>
      <x:c r="D182" s="12" t="str">
        <x:v>Pembayaran Berhasil!</x:v>
      </x:c>
      <x:c r="E182" s="12" t="str">
        <x:v>BUFFET AHMAD SALIM 3</x:v>
      </x:c>
      <x:c r="F182" s="12" t="str">
        <x:v>Makan &amp; Minum</x:v>
      </x:c>
      <x:c r="G182" s="12" t="str">
        <x:v>Makanan/minuman</x:v>
      </x:c>
      <x:c r="H182" s="7" t="n">
        <x:v>29000</x:v>
      </x:c>
      <x:c r="I182" s="7" t="n">
        <x:v>0</x:v>
      </x:c>
      <x:c r="J182" s="7" t="n">
        <x:v>29000</x:v>
      </x:c>
      <x:c r="K182" s="12" t="str">
        <x:v>Berhasil</x:v>
      </x:c>
      <x:c r="L182" s="12" t="str">
        <x:v>Ya</x:v>
      </x:c>
      <x:c r="M182" s="12" t="str">
        <x:v>Ya</x:v>
      </x:c>
      <x:c r="N182" s="12" t="str">
        <x:v>Normal</x:v>
      </x:c>
      <x:c r="O182" s="12" t="str">
        <x:v>QRIS</x:v>
      </x:c>
      <x:c r="P182" s="12" t="str">
        <x:v>19ef422ef8511077</x:v>
      </x:c>
      <x:c r="Q182" s="13" t="str">
        <x:v>https://mail.google.com/mail/#all/19ef422ef8511077</x:v>
      </x:c>
    </x:row>
    <x:row r="183">
      <x:c r="A183" s="11" t="n">
        <x:v>46197</x:v>
      </x:c>
      <x:c r="B183" s="12" t="str">
        <x:v>16:20:23</x:v>
      </x:c>
      <x:c r="C183" s="12" t="str">
        <x:v>Jun 2026</x:v>
      </x:c>
      <x:c r="D183" s="12" t="str">
        <x:v>Pembayaran Berhasil!</x:v>
      </x:c>
      <x:c r="E183" s="12" t="str">
        <x:v>Yara Ponsel Qr</x:v>
      </x:c>
      <x:c r="F183" s="12" t="str">
        <x:v>Telekomunikasi</x:v>
      </x:c>
      <x:c r="G183" s="12" t="str">
        <x:v>Ponsel/aksesori</x:v>
      </x:c>
      <x:c r="H183" s="7" t="n">
        <x:v>9000</x:v>
      </x:c>
      <x:c r="I183" s="7" t="n">
        <x:v>0</x:v>
      </x:c>
      <x:c r="J183" s="7" t="n">
        <x:v>9000</x:v>
      </x:c>
      <x:c r="K183" s="12" t="str">
        <x:v>Berhasil</x:v>
      </x:c>
      <x:c r="L183" s="12" t="str">
        <x:v>Ya</x:v>
      </x:c>
      <x:c r="M183" s="12" t="str">
        <x:v>Ya</x:v>
      </x:c>
      <x:c r="N183" s="12" t="str">
        <x:v>Normal</x:v>
      </x:c>
      <x:c r="O183" s="12" t="str">
        <x:v>QRIS</x:v>
      </x:c>
      <x:c r="P183" s="12" t="str">
        <x:v>19ef8ee739b90f1c</x:v>
      </x:c>
      <x:c r="Q183" s="13" t="str">
        <x:v>https://mail.google.com/mail/#all/19ef8ee739b90f1c</x:v>
      </x:c>
    </x:row>
    <x:row r="184">
      <x:c r="A184" s="11" t="n">
        <x:v>46197</x:v>
      </x:c>
      <x:c r="B184" s="12" t="str">
        <x:v>16:21:06</x:v>
      </x:c>
      <x:c r="C184" s="12" t="str">
        <x:v>Jun 2026</x:v>
      </x:c>
      <x:c r="D184" s="12" t="str">
        <x:v>Pembayaran Berhasil!</x:v>
      </x:c>
      <x:c r="E184" s="12" t="str">
        <x:v>Yara Ponsel Qr</x:v>
      </x:c>
      <x:c r="F184" s="12" t="str">
        <x:v>Telekomunikasi</x:v>
      </x:c>
      <x:c r="G184" s="12" t="str">
        <x:v>Ponsel/aksesori</x:v>
      </x:c>
      <x:c r="H184" s="7" t="n">
        <x:v>10000</x:v>
      </x:c>
      <x:c r="I184" s="7" t="n">
        <x:v>0</x:v>
      </x:c>
      <x:c r="J184" s="7" t="n">
        <x:v>10000</x:v>
      </x:c>
      <x:c r="K184" s="12" t="str">
        <x:v>Berhasil</x:v>
      </x:c>
      <x:c r="L184" s="12" t="str">
        <x:v>Ya</x:v>
      </x:c>
      <x:c r="M184" s="12" t="str">
        <x:v>Ya</x:v>
      </x:c>
      <x:c r="N184" s="12" t="str">
        <x:v>Normal</x:v>
      </x:c>
      <x:c r="O184" s="12" t="str">
        <x:v>QRIS</x:v>
      </x:c>
      <x:c r="P184" s="12" t="str">
        <x:v>19ef8ef1269f00d4</x:v>
      </x:c>
      <x:c r="Q184" s="13" t="str">
        <x:v>https://mail.google.com/mail/#all/19ef8ef1269f00d4</x:v>
      </x:c>
    </x:row>
    <x:row r="185">
      <x:c r="A185" s="14" t="n">
        <x:v>46198</x:v>
      </x:c>
      <x:c r="B185" s="15" t="str">
        <x:v>07:48:14</x:v>
      </x:c>
      <x:c r="C185" s="15" t="str">
        <x:v>Jun 2026</x:v>
      </x:c>
      <x:c r="D185" s="15" t="str">
        <x:v>Pembayaran Berhasil!</x:v>
      </x:c>
      <x:c r="E185" s="15" t="str">
        <x:v>Nasi Kuning Komplek Warta</x:v>
      </x:c>
      <x:c r="F185" s="15" t="str">
        <x:v>Makan &amp; Minum</x:v>
      </x:c>
      <x:c r="G185" s="15" t="str">
        <x:v>Makanan/minuman</x:v>
      </x:c>
      <x:c r="H185" s="16" t="n">
        <x:v>20000</x:v>
      </x:c>
      <x:c r="I185" s="16" t="n">
        <x:v>0</x:v>
      </x:c>
      <x:c r="J185" s="16" t="n">
        <x:v>20000</x:v>
      </x:c>
      <x:c r="K185" s="15" t="str">
        <x:v>Berhasil</x:v>
      </x:c>
      <x:c r="L185" s="15" t="str">
        <x:v>Ya</x:v>
      </x:c>
      <x:c r="M185" s="15" t="str">
        <x:v>Ya</x:v>
      </x:c>
      <x:c r="N185" s="15" t="str">
        <x:v>Normal</x:v>
      </x:c>
      <x:c r="O185" s="15" t="str">
        <x:v>QRIS</x:v>
      </x:c>
      <x:c r="P185" s="15" t="str">
        <x:v>19efc3fe3c7caf3d</x:v>
      </x:c>
      <x:c r="Q185" s="17" t="str">
        <x:v>https://mail.google.com/mail/#all/19efc3fe3c7caf3d</x:v>
      </x:c>
    </x:row>
  </x:sheetData>
  <x:mergeCells>
    <x:mergeCell ref="A1:Q1"/>
    <x:mergeCell ref="A2:J2"/>
  </x:mergeCells>
  <x:conditionalFormatting sqref="N5:N185">
    <x:cfRule type="containsText" dxfId="0" priority="1" operator="containsText" text="High review"/>
    <x:cfRule type="containsText" dxfId="1" priority="2" operator="containsText" text="Perlu breakdown"/>
  </x:conditionalFormatting>
  <x:pageMargins left="0.7" right="0.7" top="0.75" bottom="0.75" header="0.3" footer="0.3"/>
  <x:tableParts count="1">
    <x:tablePart xmlns:r="http://schemas.openxmlformats.org/officeDocument/2006/relationships" r:id="R4ce1f398669e423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25.5" customHeight="1">
      <x:c r="A1" s="2" t="str">
        <x:v>Ringkasan Bulanan</x:v>
      </x:c>
      <x:c r="B1" s="2" t="str">
        <x:v>Ringkasan Bulanan</x:v>
      </x:c>
      <x:c r="C1" s="2" t="str">
        <x:v>Ringkasan Bulanan</x:v>
      </x:c>
      <x:c r="D1" s="2" t="str">
        <x:v>Ringkasan Bulanan</x:v>
      </x:c>
      <x:c r="E1" s="2" t="str">
        <x:v>Ringkasan Bulanan</x:v>
      </x:c>
      <x:c r="F1" s="2" t="str">
        <x:v>Ringkasan Bulanan</x:v>
      </x:c>
      <x:c r="G1" s="2" t="str">
        <x:v>Ringkasan Bulanan</x:v>
      </x:c>
      <x:c r="H1" s="2" t="str">
        <x:v>Ringkasan Bulanan</x:v>
      </x:c>
      <x:c r="I1" s="2" t="str">
        <x:v>Ringkasan Bulanan</x:v>
      </x:c>
      <x:c r="J1" s="2" t="str">
        <x:v>Ringkasan Bulanan</x:v>
      </x:c>
    </x:row>
    <x:row r="2">
      <x:c r="A2" s="3" t="str">
        <x:v>Formula mengacu ke sheet Transaksi.</x:v>
      </x:c>
      <x:c r="B2" s="3" t="str">
        <x:v>Formula mengacu ke sheet Transaksi.</x:v>
      </x:c>
      <x:c r="C2" s="3" t="str">
        <x:v>Formula mengacu ke sheet Transaksi.</x:v>
      </x:c>
      <x:c r="D2" s="3" t="str">
        <x:v>Formula mengacu ke sheet Transaksi.</x:v>
      </x:c>
      <x:c r="E2" s="3" t="str">
        <x:v>Formula mengacu ke sheet Transaksi.</x:v>
      </x:c>
      <x:c r="F2" s="3" t="str">
        <x:v>Formula mengacu ke sheet Transaksi.</x:v>
      </x:c>
      <x:c r="G2" s="3" t="str">
        <x:v>Formula mengacu ke sheet Transaksi.</x:v>
      </x:c>
      <x:c r="H2" s="3" t="str">
        <x:v>Formula mengacu ke sheet Transaksi.</x:v>
      </x:c>
      <x:c r="I2" s="3" t="str">
        <x:v>Formula mengacu ke sheet Transaksi.</x:v>
      </x:c>
      <x:c r="J2" s="3" t="str">
        <x:v>Formula mengacu ke sheet Transaksi.</x:v>
      </x:c>
    </x:row>
    <x:row r="4">
      <x:c r="A4" s="18" t="str">
        <x:v>Bulan</x:v>
      </x:c>
      <x:c r="B4" s="18" t="str">
        <x:v>Jumlah Email</x:v>
      </x:c>
      <x:c r="C4" s="18" t="str">
        <x:v>Arus Keluar Bank</x:v>
      </x:c>
      <x:c r="D4" s="18" t="str">
        <x:v>Pengeluaran Hidup</x:v>
      </x:c>
      <x:c r="E4" s="18" t="str">
        <x:v>Transfer Diri/Tabungan</x:v>
      </x:c>
      <x:c r="F4" s="18" t="str">
        <x:v>Dompet Digital</x:v>
      </x:c>
      <x:c r="G4" s="18" t="str">
        <x:v>Transfer ke Orang</x:v>
      </x:c>
      <x:c r="H4" s="18" t="str">
        <x:v>Transaksi Terbesar</x:v>
      </x:c>
      <x:c r="I4" s="18" t="str">
        <x:v>Proyeksi Jun Full Month</x:v>
      </x:c>
      <x:c r="J4" s="18" t="str">
        <x:v>Rata-rata Harian Hidup</x:v>
      </x:c>
    </x:row>
    <x:row r="5">
      <x:c r="A5" s="19" t="str">
        <x:v>Mar 2026</x:v>
      </x:c>
      <x:c r="B5" s="19" t="n">
        <x:f>COUNTIF('Transaksi'!$C$5:$C$185,A5)</x:f>
        <x:v>46</x:v>
      </x:c>
      <x:c r="C5" s="20" t="n">
        <x:f>SUMIFS('Transaksi'!$J$5:$J$185,'Transaksi'!$C$5:$C$185,A5,'Transaksi'!$L$5:$L$185,"Ya")</x:f>
        <x:v>5408886</x:v>
      </x:c>
      <x:c r="D5" s="20" t="n">
        <x:f>SUMIFS('Transaksi'!$J$5:$J$185,'Transaksi'!$C$5:$C$185,A5,'Transaksi'!$M$5:$M$185,"Ya")</x:f>
        <x:v>5273886</x:v>
      </x:c>
      <x:c r="E5" s="20" t="n">
        <x:f>SUMIFS('Transaksi'!$J$5:$J$185,'Transaksi'!$C$5:$C$185,A5,'Transaksi'!$F$5:$F$185,"Transfer Diri/Tabungan")</x:f>
        <x:v>135000</x:v>
      </x:c>
      <x:c r="F5" s="20" t="n">
        <x:f>SUMIFS('Transaksi'!$J$5:$J$185,'Transaksi'!$C$5:$C$185,A5,'Transaksi'!$F$5:$F$185,"Dompet Digital &amp; Aggregator")</x:f>
        <x:v>3231572</x:v>
      </x:c>
      <x:c r="G5" s="20" t="n">
        <x:f>SUMIFS('Transaksi'!$J$5:$J$185,'Transaksi'!$C$5:$C$185,A5,'Transaksi'!$F$5:$F$185,"Transfer ke Orang")</x:f>
        <x:v>1075000</x:v>
      </x:c>
      <x:c r="H5" s="20" t="n">
        <x:f>MAXIFS('Transaksi'!$J$5:$J$185,'Transaksi'!$C$5:$C$185,A5)</x:f>
        <x:v>2001000</x:v>
      </x:c>
      <x:c r="I5" s="20" t="str">
        <x:f>IF(A5="Jun 2026",C5/25*30,"")</x:f>
      </x:c>
      <x:c r="J5" s="20" t="n">
        <x:f>IF(A5="Jun 2026",D5/25,D5/DAY(EOMONTH(DATEVALUE("1 "&amp;A5),0)))</x:f>
        <x:v>188353.07142857142</x:v>
      </x:c>
    </x:row>
    <x:row r="6">
      <x:c r="A6" s="19" t="str">
        <x:v>Apr 2026</x:v>
      </x:c>
      <x:c r="B6" s="19" t="n">
        <x:f>COUNTIF('Transaksi'!$C$5:$C$185,A6)</x:f>
        <x:v>57</x:v>
      </x:c>
      <x:c r="C6" s="20" t="n">
        <x:f>SUMIFS('Transaksi'!$J$5:$J$185,'Transaksi'!$C$5:$C$185,A6,'Transaksi'!$L$5:$L$185,"Ya")</x:f>
        <x:v>20113537</x:v>
      </x:c>
      <x:c r="D6" s="20" t="n">
        <x:f>SUMIFS('Transaksi'!$J$5:$J$185,'Transaksi'!$C$5:$C$185,A6,'Transaksi'!$M$5:$M$185,"Ya")</x:f>
        <x:v>19911037</x:v>
      </x:c>
      <x:c r="E6" s="20" t="n">
        <x:f>SUMIFS('Transaksi'!$J$5:$J$185,'Transaksi'!$C$5:$C$185,A6,'Transaksi'!$F$5:$F$185,"Transfer Diri/Tabungan")</x:f>
        <x:v>202500</x:v>
      </x:c>
      <x:c r="F6" s="20" t="n">
        <x:f>SUMIFS('Transaksi'!$J$5:$J$185,'Transaksi'!$C$5:$C$185,A6,'Transaksi'!$F$5:$F$185,"Dompet Digital &amp; Aggregator")</x:f>
        <x:v>5891835</x:v>
      </x:c>
      <x:c r="G6" s="20" t="n">
        <x:f>SUMIFS('Transaksi'!$J$5:$J$185,'Transaksi'!$C$5:$C$185,A6,'Transaksi'!$F$5:$F$185,"Transfer ke Orang")</x:f>
        <x:v>10870750</x:v>
      </x:c>
      <x:c r="H6" s="20" t="n">
        <x:f>MAXIFS('Transaksi'!$J$5:$J$185,'Transaksi'!$C$5:$C$185,A6)</x:f>
        <x:v>10002500</x:v>
      </x:c>
      <x:c r="I6" s="20" t="str">
        <x:f>IF(A6="Jun 2026",C6/25*30,"")</x:f>
      </x:c>
      <x:c r="J6" s="20" t="n">
        <x:f>IF(A6="Jun 2026",D6/25,D6/DAY(EOMONTH(DATEVALUE("1 "&amp;A6),0)))</x:f>
        <x:v>642291.5161290322</x:v>
      </x:c>
    </x:row>
    <x:row r="7">
      <x:c r="A7" s="19" t="str">
        <x:v>May 2026</x:v>
      </x:c>
      <x:c r="B7" s="19" t="n">
        <x:f>COUNTIF('Transaksi'!$C$5:$C$185,A7)</x:f>
        <x:v>32</x:v>
      </x:c>
      <x:c r="C7" s="20" t="n">
        <x:f>SUMIFS('Transaksi'!$J$5:$J$185,'Transaksi'!$C$5:$C$185,A7,'Transaksi'!$L$5:$L$185,"Ya")</x:f>
        <x:v>3603574</x:v>
      </x:c>
      <x:c r="D7" s="20" t="n">
        <x:f>SUMIFS('Transaksi'!$J$5:$J$185,'Transaksi'!$C$5:$C$185,A7,'Transaksi'!$M$5:$M$185,"Ya")</x:f>
        <x:v>2933574</x:v>
      </x:c>
      <x:c r="E7" s="20" t="n">
        <x:f>SUMIFS('Transaksi'!$J$5:$J$185,'Transaksi'!$C$5:$C$185,A7,'Transaksi'!$F$5:$F$185,"Transfer Diri/Tabungan")</x:f>
        <x:v>670000</x:v>
      </x:c>
      <x:c r="F7" s="20" t="n">
        <x:f>SUMIFS('Transaksi'!$J$5:$J$185,'Transaksi'!$C$5:$C$185,A7,'Transaksi'!$F$5:$F$185,"Dompet Digital &amp; Aggregator")</x:f>
        <x:v>264300</x:v>
      </x:c>
      <x:c r="G7" s="20" t="n">
        <x:f>SUMIFS('Transaksi'!$J$5:$J$185,'Transaksi'!$C$5:$C$185,A7,'Transaksi'!$F$5:$F$185,"Transfer ke Orang")</x:f>
        <x:v>969500</x:v>
      </x:c>
      <x:c r="H7" s="20" t="n">
        <x:f>MAXIFS('Transaksi'!$J$5:$J$185,'Transaksi'!$C$5:$C$185,A7)</x:f>
        <x:v>352500</x:v>
      </x:c>
      <x:c r="I7" s="20" t="str">
        <x:f>IF(A7="Jun 2026",C7/25*30,"")</x:f>
      </x:c>
      <x:c r="J7" s="20" t="n">
        <x:f>IF(A7="Jun 2026",D7/25,D7/DAY(EOMONTH(DATEVALUE("1 "&amp;A7),0)))</x:f>
        <x:v>97785.8</x:v>
      </x:c>
    </x:row>
    <x:row r="8">
      <x:c r="A8" s="19" t="str">
        <x:v>Jun 2026</x:v>
      </x:c>
      <x:c r="B8" s="19" t="n">
        <x:f>COUNTIF('Transaksi'!$C$5:$C$185,A8)</x:f>
        <x:v>46</x:v>
      </x:c>
      <x:c r="C8" s="20" t="n">
        <x:f>SUMIFS('Transaksi'!$J$5:$J$185,'Transaksi'!$C$5:$C$185,A8,'Transaksi'!$L$5:$L$185,"Ya")</x:f>
        <x:v>8693424</x:v>
      </x:c>
      <x:c r="D8" s="20" t="n">
        <x:f>SUMIFS('Transaksi'!$J$5:$J$185,'Transaksi'!$C$5:$C$185,A8,'Transaksi'!$M$5:$M$185,"Ya")</x:f>
        <x:v>7190924</x:v>
      </x:c>
      <x:c r="E8" s="20" t="n">
        <x:f>SUMIFS('Transaksi'!$J$5:$J$185,'Transaksi'!$C$5:$C$185,A8,'Transaksi'!$F$5:$F$185,"Transfer Diri/Tabungan")</x:f>
        <x:v>1502500</x:v>
      </x:c>
      <x:c r="F8" s="20" t="n">
        <x:f>SUMIFS('Transaksi'!$J$5:$J$185,'Transaksi'!$C$5:$C$185,A8,'Transaksi'!$F$5:$F$185,"Dompet Digital &amp; Aggregator")</x:f>
        <x:v>3544747</x:v>
      </x:c>
      <x:c r="G8" s="20" t="n">
        <x:f>SUMIFS('Transaksi'!$J$5:$J$185,'Transaksi'!$C$5:$C$185,A8,'Transaksi'!$F$5:$F$185,"Transfer ke Orang")</x:f>
        <x:v>734500</x:v>
      </x:c>
      <x:c r="H8" s="20" t="n">
        <x:f>MAXIFS('Transaksi'!$J$5:$J$185,'Transaksi'!$C$5:$C$185,A8)</x:f>
        <x:v>2880246</x:v>
      </x:c>
      <x:c r="I8" s="20" t="n">
        <x:f>IF(A8="Jun 2026",C8/25*30,"")</x:f>
        <x:v>10432108.8</x:v>
      </x:c>
      <x:c r="J8" s="20" t="n">
        <x:f>IF(A8="Jun 2026",D8/25,D8/DAY(EOMONTH(DATEVALUE("1 "&amp;A8),0)))</x:f>
        <x:v>287636.96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3.11000061035156" hidden="0" customWidth="1"/>
    <x:col min="3" max="3" width="43.11000061035156" hidden="0" customWidth="1"/>
    <x:col min="4" max="4" width="43.11000061035156" hidden="0" customWidth="1"/>
    <x:col min="5" max="5" width="43.11000061035156" hidden="0" customWidth="1"/>
    <x:col min="6" max="6" width="43.11000061035156" hidden="0" customWidth="1"/>
    <x:col min="7" max="7" width="42" hidden="0" customWidth="1"/>
  </x:cols>
  <x:sheetData>
    <x:row r="1" ht="25.5" customHeight="1">
      <x:c r="A1" s="2" t="str">
        <x:v>Ringkasan Kategori</x:v>
      </x:c>
      <x:c r="B1" s="2" t="str">
        <x:v>Ringkasan Kategori</x:v>
      </x:c>
      <x:c r="C1" s="2" t="str">
        <x:v>Ringkasan Kategori</x:v>
      </x:c>
      <x:c r="D1" s="2" t="str">
        <x:v>Ringkasan Kategori</x:v>
      </x:c>
      <x:c r="E1" s="2" t="str">
        <x:v>Ringkasan Kategori</x:v>
      </x:c>
      <x:c r="F1" s="2" t="str">
        <x:v>Ringkasan Kategori</x:v>
      </x:c>
      <x:c r="G1" s="2" t="str">
        <x:v>Ringkasan Kategori</x:v>
      </x:c>
    </x:row>
    <x:row r="2">
      <x:c r="A2" s="3" t="str">
        <x:v>Kategori disusun untuk keputusan survival dan menabung.</x:v>
      </x:c>
      <x:c r="B2" s="3" t="str">
        <x:v>Kategori disusun untuk keputusan survival dan menabung.</x:v>
      </x:c>
      <x:c r="C2" s="3" t="str">
        <x:v>Kategori disusun untuk keputusan survival dan menabung.</x:v>
      </x:c>
      <x:c r="D2" s="3" t="str">
        <x:v>Kategori disusun untuk keputusan survival dan menabung.</x:v>
      </x:c>
      <x:c r="E2" s="3" t="str">
        <x:v>Kategori disusun untuk keputusan survival dan menabung.</x:v>
      </x:c>
      <x:c r="F2" s="3" t="str">
        <x:v>Kategori disusun untuk keputusan survival dan menabung.</x:v>
      </x:c>
      <x:c r="G2" s="3" t="str">
        <x:v>Kategori disusun untuk keputusan survival dan menabung.</x:v>
      </x:c>
      <x:c r="H2" s="3" t="str">
        <x:v>Kategori disusun untuk keputusan survival dan menabung.</x:v>
      </x:c>
      <x:c r="I2" s="3" t="str">
        <x:v>Kategori disusun untuk keputusan survival dan menabung.</x:v>
      </x:c>
      <x:c r="J2" s="3" t="str">
        <x:v>Kategori disusun untuk keputusan survival dan menabung.</x:v>
      </x:c>
    </x:row>
    <x:row r="4">
      <x:c r="A4" s="5" t="str">
        <x:v>Kategori</x:v>
      </x:c>
      <x:c r="B4" s="5" t="str">
        <x:v>Jumlah Transaksi</x:v>
      </x:c>
      <x:c r="C4" s="5" t="str">
        <x:v>Pengeluaran Hidup</x:v>
      </x:c>
      <x:c r="D4" s="5" t="str">
        <x:v>Share</x:v>
      </x:c>
      <x:c r="E4" s="5" t="str">
        <x:v>Rata-rata/Transaksi</x:v>
      </x:c>
      <x:c r="F4" s="5" t="str">
        <x:v>Flag</x:v>
      </x:c>
      <x:c r="G4" s="5" t="str">
        <x:v>Aksi Disarankan</x:v>
      </x:c>
    </x:row>
    <x:row r="5">
      <x:c r="A5" t="str">
        <x:v>Transfer ke Orang</x:v>
      </x:c>
      <x:c r="B5" t="n">
        <x:f>COUNTIFS('Transaksi'!$F$5:$F$185,A5,'Transaksi'!$M$5:$M$185,"Ya")</x:f>
        <x:v>46</x:v>
      </x:c>
      <x:c r="C5" s="7" t="n">
        <x:f>SUMIFS('Transaksi'!$J$5:$J$185,'Transaksi'!$F$5:$F$185,A5,'Transaksi'!$M$5:$M$185,"Ya")</x:f>
        <x:v>13649750</x:v>
      </x:c>
      <x:c r="D5" s="21" t="n">
        <x:f>IFERROR(C5/SUM($C$5:$C$13),0)</x:f>
        <x:v>0.3865752995496584</x:v>
      </x:c>
      <x:c r="E5" s="7" t="n">
        <x:f>IFERROR(C5/B5,0)</x:f>
        <x:v>296733.6956521739</x:v>
      </x:c>
      <x:c r="F5" t="str">
        <x:f>IF(C5&gt;500000,"Review","Normal")</x:f>
        <x:v>Review</x:v>
      </x:c>
      <x:c r="G5" t="str">
        <x:f>IF(A5="Dompet Digital &amp; Aggregator","Buat batas mingguan dan breakdown dari GoPay/DANA",IF(A5="Transfer ke Orang","Wajib catatan tujuan transfer",IF(A5="Makan &amp; Minum","Tetapkan kuota makan luar/cafe","Pantau bulanan")))</x:f>
        <x:v>Wajib catatan tujuan transfer</x:v>
      </x:c>
    </x:row>
    <x:row r="6">
      <x:c r="A6" t="str">
        <x:v>Dompet Digital &amp; Aggregator</x:v>
      </x:c>
      <x:c r="B6" t="n">
        <x:f>COUNTIFS('Transaksi'!$F$5:$F$185,A6,'Transaksi'!$M$5:$M$185,"Ya")</x:f>
        <x:v>27</x:v>
      </x:c>
      <x:c r="C6" s="7" t="n">
        <x:f>SUMIFS('Transaksi'!$J$5:$J$185,'Transaksi'!$F$5:$F$185,A6,'Transaksi'!$M$5:$M$185,"Ya")</x:f>
        <x:v>12932454</x:v>
      </x:c>
      <x:c r="D6" s="21" t="n">
        <x:f>IFERROR(C6/SUM($C$5:$C$13),0)</x:f>
        <x:v>0.36626072118259884</x:v>
      </x:c>
      <x:c r="E6" s="7" t="n">
        <x:f>IFERROR(C6/B6,0)</x:f>
        <x:v>478979.77777777775</x:v>
      </x:c>
      <x:c r="F6" t="str">
        <x:f>IF(C6&gt;500000,"Review","Normal")</x:f>
        <x:v>Review</x:v>
      </x:c>
      <x:c r="G6" t="str">
        <x:f>IF(A6="Dompet Digital &amp; Aggregator","Buat batas mingguan dan breakdown dari GoPay/DANA",IF(A6="Transfer ke Orang","Wajib catatan tujuan transfer",IF(A6="Makan &amp; Minum","Tetapkan kuota makan luar/cafe","Pantau bulanan")))</x:f>
        <x:v>Buat batas mingguan dan breakdown dari GoPay/DANA</x:v>
      </x:c>
    </x:row>
    <x:row r="7">
      <x:c r="A7" t="str">
        <x:v>Makan &amp; Minum</x:v>
      </x:c>
      <x:c r="B7" t="n">
        <x:f>COUNTIFS('Transaksi'!$F$5:$F$185,A7,'Transaksi'!$M$5:$M$185,"Ya")</x:f>
        <x:v>42</x:v>
      </x:c>
      <x:c r="C7" s="7" t="n">
        <x:f>SUMIFS('Transaksi'!$J$5:$J$185,'Transaksi'!$F$5:$F$185,A7,'Transaksi'!$M$5:$M$185,"Ya")</x:f>
        <x:v>3813014</x:v>
      </x:c>
      <x:c r="D7" s="21" t="n">
        <x:f>IFERROR(C7/SUM($C$5:$C$13),0)</x:f>
        <x:v>0.10798857336120012</x:v>
      </x:c>
      <x:c r="E7" s="7" t="n">
        <x:f>IFERROR(C7/B7,0)</x:f>
        <x:v>90786.04761904762</x:v>
      </x:c>
      <x:c r="F7" t="str">
        <x:f>IF(C7&gt;500000,"Review","Normal")</x:f>
        <x:v>Review</x:v>
      </x:c>
      <x:c r="G7" t="str">
        <x:f>IF(A7="Dompet Digital &amp; Aggregator","Buat batas mingguan dan breakdown dari GoPay/DANA",IF(A7="Transfer ke Orang","Wajib catatan tujuan transfer",IF(A7="Makan &amp; Minum","Tetapkan kuota makan luar/cafe","Pantau bulanan")))</x:f>
        <x:v>Tetapkan kuota makan luar/cafe</x:v>
      </x:c>
    </x:row>
    <x:row r="8">
      <x:c r="A8" t="str">
        <x:v>Belanja Harian/Retail</x:v>
      </x:c>
      <x:c r="B8" t="n">
        <x:f>COUNTIFS('Transaksi'!$F$5:$F$185,A8,'Transaksi'!$M$5:$M$185,"Ya")</x:f>
        <x:v>23</x:v>
      </x:c>
      <x:c r="C8" s="7" t="n">
        <x:f>SUMIFS('Transaksi'!$J$5:$J$185,'Transaksi'!$F$5:$F$185,A8,'Transaksi'!$M$5:$M$185,"Ya")</x:f>
        <x:v>2593047</x:v>
      </x:c>
      <x:c r="D8" s="21" t="n">
        <x:f>IFERROR(C8/SUM($C$5:$C$13),0)</x:f>
        <x:v>0.07343782272725458</x:v>
      </x:c>
      <x:c r="E8" s="7" t="n">
        <x:f>IFERROR(C8/B8,0)</x:f>
        <x:v>112741.17391304347</x:v>
      </x:c>
      <x:c r="F8" t="str">
        <x:f>IF(C8&gt;500000,"Review","Normal")</x:f>
        <x:v>Review</x:v>
      </x:c>
      <x:c r="G8" t="str">
        <x:f>IF(A8="Dompet Digital &amp; Aggregator","Buat batas mingguan dan breakdown dari GoPay/DANA",IF(A8="Transfer ke Orang","Wajib catatan tujuan transfer",IF(A8="Makan &amp; Minum","Tetapkan kuota makan luar/cafe","Pantau bulanan")))</x:f>
        <x:v>Pantau bulanan</x:v>
      </x:c>
    </x:row>
    <x:row r="9">
      <x:c r="A9" t="str">
        <x:v>Profesional/Tools</x:v>
      </x:c>
      <x:c r="B9" t="n">
        <x:f>COUNTIFS('Transaksi'!$F$5:$F$185,A9,'Transaksi'!$M$5:$M$185,"Ya")</x:f>
        <x:v>1</x:v>
      </x:c>
      <x:c r="C9" s="7" t="n">
        <x:f>SUMIFS('Transaksi'!$J$5:$J$185,'Transaksi'!$F$5:$F$185,A9,'Transaksi'!$M$5:$M$185,"Ya")</x:f>
        <x:v>743483</x:v>
      </x:c>
      <x:c r="D9" s="21" t="n">
        <x:f>IFERROR(C9/SUM($C$5:$C$13),0)</x:f>
        <x:v>0.02105622179417782</x:v>
      </x:c>
      <x:c r="E9" s="7" t="n">
        <x:f>IFERROR(C9/B9,0)</x:f>
        <x:v>743483</x:v>
      </x:c>
      <x:c r="F9" t="str">
        <x:f>IF(C9&gt;500000,"Review","Normal")</x:f>
        <x:v>Review</x:v>
      </x:c>
      <x:c r="G9" t="str">
        <x:f>IF(A9="Dompet Digital &amp; Aggregator","Buat batas mingguan dan breakdown dari GoPay/DANA",IF(A9="Transfer ke Orang","Wajib catatan tujuan transfer",IF(A9="Makan &amp; Minum","Tetapkan kuota makan luar/cafe","Pantau bulanan")))</x:f>
        <x:v>Pantau bulanan</x:v>
      </x:c>
    </x:row>
    <x:row r="10">
      <x:c r="A10" t="str">
        <x:v>Digital, Gaming &amp; Aplikasi</x:v>
      </x:c>
      <x:c r="B10" t="n">
        <x:f>COUNTIFS('Transaksi'!$F$5:$F$185,A10,'Transaksi'!$M$5:$M$185,"Ya")</x:f>
        <x:v>5</x:v>
      </x:c>
      <x:c r="C10" s="7" t="n">
        <x:f>SUMIFS('Transaksi'!$J$5:$J$185,'Transaksi'!$F$5:$F$185,A10,'Transaksi'!$M$5:$M$185,"Ya")</x:f>
        <x:v>647253</x:v>
      </x:c>
      <x:c r="D10" s="21" t="n">
        <x:f>IFERROR(C10/SUM($C$5:$C$13),0)</x:f>
        <x:v>0.01833088681912966</x:v>
      </x:c>
      <x:c r="E10" s="7" t="n">
        <x:f>IFERROR(C10/B10,0)</x:f>
        <x:v>129450.6</x:v>
      </x:c>
      <x:c r="F10" t="str">
        <x:f>IF(C10&gt;500000,"Review","Normal")</x:f>
        <x:v>Review</x:v>
      </x:c>
      <x:c r="G10" t="str">
        <x:f>IF(A10="Dompet Digital &amp; Aggregator","Buat batas mingguan dan breakdown dari GoPay/DANA",IF(A10="Transfer ke Orang","Wajib catatan tujuan transfer",IF(A10="Makan &amp; Minum","Tetapkan kuota makan luar/cafe","Pantau bulanan")))</x:f>
        <x:v>Pantau bulanan</x:v>
      </x:c>
    </x:row>
    <x:row r="11">
      <x:c r="A11" t="str">
        <x:v>Kesehatan &amp; Obat</x:v>
      </x:c>
      <x:c r="B11" t="n">
        <x:f>COUNTIFS('Transaksi'!$F$5:$F$185,A11,'Transaksi'!$M$5:$M$185,"Ya")</x:f>
        <x:v>12</x:v>
      </x:c>
      <x:c r="C11" s="7" t="n">
        <x:f>SUMIFS('Transaksi'!$J$5:$J$185,'Transaksi'!$F$5:$F$185,A11,'Transaksi'!$M$5:$M$185,"Ya")</x:f>
        <x:v>496600</x:v>
      </x:c>
      <x:c r="D11" s="21" t="n">
        <x:f>IFERROR(C11/SUM($C$5:$C$13),0)</x:f>
        <x:v>0.014064235151292908</x:v>
      </x:c>
      <x:c r="E11" s="7" t="n">
        <x:f>IFERROR(C11/B11,0)</x:f>
        <x:v>41383.333333333336</x:v>
      </x:c>
      <x:c r="F11" t="str">
        <x:f>IF(C11&gt;500000,"Review","Normal")</x:f>
        <x:v>Normal</x:v>
      </x:c>
      <x:c r="G11" t="str">
        <x:f>IF(A11="Dompet Digital &amp; Aggregator","Buat batas mingguan dan breakdown dari GoPay/DANA",IF(A11="Transfer ke Orang","Wajib catatan tujuan transfer",IF(A11="Makan &amp; Minum","Tetapkan kuota makan luar/cafe","Pantau bulanan")))</x:f>
        <x:v>Pantau bulanan</x:v>
      </x:c>
    </x:row>
    <x:row r="12">
      <x:c r="A12" t="str">
        <x:v>Transportasi &amp; BBM</x:v>
      </x:c>
      <x:c r="B12" t="n">
        <x:f>COUNTIFS('Transaksi'!$F$5:$F$185,A12,'Transaksi'!$M$5:$M$185,"Ya")</x:f>
        <x:v>7</x:v>
      </x:c>
      <x:c r="C12" s="7" t="n">
        <x:f>SUMIFS('Transaksi'!$J$5:$J$185,'Transaksi'!$F$5:$F$185,A12,'Transaksi'!$M$5:$M$185,"Ya")</x:f>
        <x:v>291820</x:v>
      </x:c>
      <x:c r="D12" s="21" t="n">
        <x:f>IFERROR(C12/SUM($C$5:$C$13),0)</x:f>
        <x:v>0.00826464982249355</x:v>
      </x:c>
      <x:c r="E12" s="7" t="n">
        <x:f>IFERROR(C12/B12,0)</x:f>
        <x:v>41688.57142857143</x:v>
      </x:c>
      <x:c r="F12" t="str">
        <x:f>IF(C12&gt;500000,"Review","Normal")</x:f>
        <x:v>Normal</x:v>
      </x:c>
      <x:c r="G12" t="str">
        <x:f>IF(A12="Dompet Digital &amp; Aggregator","Buat batas mingguan dan breakdown dari GoPay/DANA",IF(A12="Transfer ke Orang","Wajib catatan tujuan transfer",IF(A12="Makan &amp; Minum","Tetapkan kuota makan luar/cafe","Pantau bulanan")))</x:f>
        <x:v>Pantau bulanan</x:v>
      </x:c>
    </x:row>
    <x:row r="13">
      <x:c r="A13" t="str">
        <x:v>Telekomunikasi</x:v>
      </x:c>
      <x:c r="B13" t="n">
        <x:f>COUNTIFS('Transaksi'!$F$5:$F$185,A13,'Transaksi'!$M$5:$M$185,"Ya")</x:f>
        <x:v>6</x:v>
      </x:c>
      <x:c r="C13" s="7" t="n">
        <x:f>SUMIFS('Transaksi'!$J$5:$J$185,'Transaksi'!$F$5:$F$185,A13,'Transaksi'!$M$5:$M$185,"Ya")</x:f>
        <x:v>142000</x:v>
      </x:c>
      <x:c r="D13" s="21" t="n">
        <x:f>IFERROR(C13/SUM($C$5:$C$13),0)</x:f>
        <x:v>0.004021589592194106</x:v>
      </x:c>
      <x:c r="E13" s="7" t="n">
        <x:f>IFERROR(C13/B13,0)</x:f>
        <x:v>23666.666666666668</x:v>
      </x:c>
      <x:c r="F13" t="str">
        <x:f>IF(C13&gt;500000,"Review","Normal")</x:f>
        <x:v>Normal</x:v>
      </x:c>
      <x:c r="G13" t="str">
        <x:f>IF(A13="Dompet Digital &amp; Aggregator","Buat batas mingguan dan breakdown dari GoPay/DANA",IF(A13="Transfer ke Orang","Wajib catatan tujuan transfer",IF(A13="Makan &amp; Minum","Tetapkan kuota makan luar/cafe","Pantau bulanan")))</x:f>
        <x:v>Pantau bulanan</x:v>
      </x:c>
    </x:row>
  </x:sheetData>
  <x:mergeCells>
    <x:mergeCell ref="A1:G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7.88999938964844" hidden="0" customWidth="1"/>
    <x:col min="3" max="3" width="37.88999938964844" hidden="0" customWidth="1"/>
    <x:col min="4" max="4" width="37.88999938964844" hidden="0" customWidth="1"/>
    <x:col min="5" max="5" width="37.88999938964844" hidden="0" customWidth="1"/>
    <x:col min="6" max="6" width="37.88999938964844" hidden="0" customWidth="1"/>
  </x:cols>
  <x:sheetData>
    <x:row r="1" ht="25.5" customHeight="1">
      <x:c r="A1" s="2" t="str">
        <x:v>Top Merchant/Penerima</x:v>
      </x:c>
      <x:c r="B1" s="2" t="str">
        <x:v>Top Merchant/Penerima</x:v>
      </x:c>
      <x:c r="C1" s="2" t="str">
        <x:v>Top Merchant/Penerima</x:v>
      </x:c>
      <x:c r="D1" s="2" t="str">
        <x:v>Top Merchant/Penerima</x:v>
      </x:c>
      <x:c r="E1" s="2" t="str">
        <x:v>Top Merchant/Penerima</x:v>
      </x:c>
      <x:c r="F1" s="2" t="str">
        <x:v>Top Merchant/Penerima</x:v>
      </x:c>
    </x:row>
    <x:row r="2">
      <x:c r="A2" s="3" t="str">
        <x:v>Merchant dengan total pengeluaran hidup tertinggi.</x:v>
      </x:c>
      <x:c r="B2" s="3" t="str">
        <x:v>Merchant dengan total pengeluaran hidup tertinggi.</x:v>
      </x:c>
      <x:c r="C2" s="3" t="str">
        <x:v>Merchant dengan total pengeluaran hidup tertinggi.</x:v>
      </x:c>
      <x:c r="D2" s="3" t="str">
        <x:v>Merchant dengan total pengeluaran hidup tertinggi.</x:v>
      </x:c>
      <x:c r="E2" s="3" t="str">
        <x:v>Merchant dengan total pengeluaran hidup tertinggi.</x:v>
      </x:c>
      <x:c r="F2" s="3" t="str">
        <x:v>Merchant dengan total pengeluaran hidup tertinggi.</x:v>
      </x:c>
      <x:c r="G2" s="3" t="str">
        <x:v>Merchant dengan total pengeluaran hidup tertinggi.</x:v>
      </x:c>
      <x:c r="H2" s="3" t="str">
        <x:v>Merchant dengan total pengeluaran hidup tertinggi.</x:v>
      </x:c>
      <x:c r="I2" s="3" t="str">
        <x:v>Merchant dengan total pengeluaran hidup tertinggi.</x:v>
      </x:c>
      <x:c r="J2" s="3" t="str">
        <x:v>Merchant dengan total pengeluaran hidup tertinggi.</x:v>
      </x:c>
    </x:row>
    <x:row r="4">
      <x:c r="A4" s="5" t="str">
        <x:v>Merchant/Penerima</x:v>
      </x:c>
      <x:c r="B4" s="5" t="str">
        <x:v>Kategori</x:v>
      </x:c>
      <x:c r="C4" s="5" t="str">
        <x:v>Jumlah Transaksi</x:v>
      </x:c>
      <x:c r="D4" s="5" t="str">
        <x:v>Total</x:v>
      </x:c>
      <x:c r="E4" s="5" t="str">
        <x:v>Rata-rata</x:v>
      </x:c>
      <x:c r="F4" s="5" t="str">
        <x:v>Catatan</x:v>
      </x:c>
    </x:row>
    <x:row r="5">
      <x:c r="A5" t="str">
        <x:v>ROHDEARNI BARUTU - Bank Permata</x:v>
      </x:c>
      <x:c r="B5" t="str">
        <x:f>INDEX('Transaksi'!$F$5:$F$185,MATCH(A5,'Transaksi'!$E$5:$E$185,0))</x:f>
        <x:v>Transfer ke Orang</x:v>
      </x:c>
      <x:c r="C5" t="n">
        <x:f>COUNTIFS('Transaksi'!$E$5:$E$185,A5,'Transaksi'!$M$5:$M$185,"Ya")</x:f>
        <x:v>1</x:v>
      </x:c>
      <x:c r="D5" s="7" t="n">
        <x:f>SUMIFS('Transaksi'!$J$5:$J$185,'Transaksi'!$E$5:$E$185,A5,'Transaksi'!$M$5:$M$185,"Ya")</x:f>
        <x:v>10002500</x:v>
      </x:c>
      <x:c r="E5" s="7" t="n">
        <x:f>IFERROR(D5/C5,0)</x:f>
        <x:v>10002500</x:v>
      </x:c>
      <x:c r="F5" t="str">
        <x:f>IF(D5&gt;1000000,"Prioritas review",IF(C5&gt;=3,"Pola berulang","Normal"))</x:f>
        <x:v>Prioritas review</x:v>
      </x:c>
    </x:row>
    <x:row r="6">
      <x:c r="A6" t="str">
        <x:v>Gopay Payment 60739081370309604</x:v>
      </x:c>
      <x:c r="B6" t="str">
        <x:f>INDEX('Transaksi'!$F$5:$F$185,MATCH(A6,'Transaksi'!$E$5:$E$185,0))</x:f>
        <x:v>Dompet Digital &amp; Aggregator</x:v>
      </x:c>
      <x:c r="C6" t="n">
        <x:f>COUNTIFS('Transaksi'!$E$5:$E$185,A6,'Transaksi'!$M$5:$M$185,"Ya")</x:f>
        <x:v>9</x:v>
      </x:c>
      <x:c r="D6" s="7" t="n">
        <x:f>SUMIFS('Transaksi'!$J$5:$J$185,'Transaksi'!$E$5:$E$185,A6,'Transaksi'!$M$5:$M$185,"Ya")</x:f>
        <x:v>9238954</x:v>
      </x:c>
      <x:c r="E6" s="7" t="n">
        <x:f>IFERROR(D6/C6,0)</x:f>
        <x:v>1026550.4444444445</x:v>
      </x:c>
      <x:c r="F6" t="str">
        <x:f>IF(D6&gt;1000000,"Prioritas review",IF(C6&gt;=3,"Pola berulang","Normal"))</x:f>
        <x:v>Prioritas review</x:v>
      </x:c>
    </x:row>
    <x:row r="7">
      <x:c r="A7" t="str">
        <x:v>GoPay Customer ****9604</x:v>
      </x:c>
      <x:c r="B7" t="str">
        <x:f>INDEX('Transaksi'!$F$5:$F$185,MATCH(A7,'Transaksi'!$E$5:$E$185,0))</x:f>
        <x:v>Dompet Digital &amp; Aggregator</x:v>
      </x:c>
      <x:c r="C7" t="n">
        <x:f>COUNTIFS('Transaksi'!$E$5:$E$185,A7,'Transaksi'!$M$5:$M$185,"Ya")</x:f>
        <x:v>14</x:v>
      </x:c>
      <x:c r="D7" s="7" t="n">
        <x:f>SUMIFS('Transaksi'!$J$5:$J$185,'Transaksi'!$E$5:$E$185,A7,'Transaksi'!$M$5:$M$185,"Ya")</x:f>
        <x:v>3549000</x:v>
      </x:c>
      <x:c r="E7" s="7" t="n">
        <x:f>IFERROR(D7/C7,0)</x:f>
        <x:v>253500</x:v>
      </x:c>
      <x:c r="F7" t="str">
        <x:f>IF(D7&gt;1000000,"Prioritas review",IF(C7&gt;=3,"Pola berulang","Normal"))</x:f>
        <x:v>Prioritas review</x:v>
      </x:c>
    </x:row>
    <x:row r="8">
      <x:c r="A8" t="str">
        <x:v>JOICE MELATI H - Bank Negara Indonesia</x:v>
      </x:c>
      <x:c r="B8" t="str">
        <x:f>INDEX('Transaksi'!$F$5:$F$185,MATCH(A8,'Transaksi'!$E$5:$E$185,0))</x:f>
        <x:v>Transfer ke Orang</x:v>
      </x:c>
      <x:c r="C8" t="n">
        <x:f>COUNTIFS('Transaksi'!$E$5:$E$185,A8,'Transaksi'!$M$5:$M$185,"Ya")</x:f>
        <x:v>6</x:v>
      </x:c>
      <x:c r="D8" s="7" t="n">
        <x:f>SUMIFS('Transaksi'!$J$5:$J$185,'Transaksi'!$E$5:$E$185,A8,'Transaksi'!$M$5:$M$185,"Ya")</x:f>
        <x:v>1493000</x:v>
      </x:c>
      <x:c r="E8" s="7" t="n">
        <x:f>IFERROR(D8/C8,0)</x:f>
        <x:v>248833.33333333334</x:v>
      </x:c>
      <x:c r="F8" t="str">
        <x:f>IF(D8&gt;1000000,"Prioritas review",IF(C8&gt;=3,"Pola berulang","Normal"))</x:f>
        <x:v>Prioritas review</x:v>
      </x:c>
    </x:row>
    <x:row r="9">
      <x:c r="A9" t="str">
        <x:v>Domainesia</x:v>
      </x:c>
      <x:c r="B9" t="str">
        <x:f>INDEX('Transaksi'!$F$5:$F$185,MATCH(A9,'Transaksi'!$E$5:$E$185,0))</x:f>
        <x:v>Profesional/Tools</x:v>
      </x:c>
      <x:c r="C9" t="n">
        <x:f>COUNTIFS('Transaksi'!$E$5:$E$185,A9,'Transaksi'!$M$5:$M$185,"Ya")</x:f>
        <x:v>1</x:v>
      </x:c>
      <x:c r="D9" s="7" t="n">
        <x:f>SUMIFS('Transaksi'!$J$5:$J$185,'Transaksi'!$E$5:$E$185,A9,'Transaksi'!$M$5:$M$185,"Ya")</x:f>
        <x:v>743483</x:v>
      </x:c>
      <x:c r="E9" s="7" t="n">
        <x:f>IFERROR(D9/C9,0)</x:f>
        <x:v>743483</x:v>
      </x:c>
      <x:c r="F9" t="str">
        <x:f>IF(D9&gt;1000000,"Prioritas review",IF(C9&gt;=3,"Pola berulang","Normal"))</x:f>
        <x:v>Normal</x:v>
      </x:c>
    </x:row>
    <x:row r="10">
      <x:c r="A10" t="str">
        <x:v>Coda Payments</x:v>
      </x:c>
      <x:c r="B10" t="str">
        <x:f>INDEX('Transaksi'!$F$5:$F$185,MATCH(A10,'Transaksi'!$E$5:$E$185,0))</x:f>
        <x:v>Digital, Gaming &amp; Aplikasi</x:v>
      </x:c>
      <x:c r="C10" t="n">
        <x:f>COUNTIFS('Transaksi'!$E$5:$E$185,A10,'Transaksi'!$M$5:$M$185,"Ya")</x:f>
        <x:v>5</x:v>
      </x:c>
      <x:c r="D10" s="7" t="n">
        <x:f>SUMIFS('Transaksi'!$J$5:$J$185,'Transaksi'!$E$5:$E$185,A10,'Transaksi'!$M$5:$M$185,"Ya")</x:f>
        <x:v>647253</x:v>
      </x:c>
      <x:c r="E10" s="7" t="n">
        <x:f>IFERROR(D10/C10,0)</x:f>
        <x:v>129450.6</x:v>
      </x:c>
      <x:c r="F10" t="str">
        <x:f>IF(D10&gt;1000000,"Prioritas review",IF(C10&gt;=3,"Pola berulang","Normal"))</x:f>
        <x:v>Pola berulang</x:v>
      </x:c>
    </x:row>
    <x:row r="11">
      <x:c r="A11" t="str">
        <x:v>PT Tokopedia Jakarta Selatan</x:v>
      </x:c>
      <x:c r="B11" t="str">
        <x:f>INDEX('Transaksi'!$F$5:$F$185,MATCH(A11,'Transaksi'!$E$5:$E$185,0))</x:f>
        <x:v>Belanja Harian/Retail</x:v>
      </x:c>
      <x:c r="C11" t="n">
        <x:f>COUNTIFS('Transaksi'!$E$5:$E$185,A11,'Transaksi'!$M$5:$M$185,"Ya")</x:f>
        <x:v>3</x:v>
      </x:c>
      <x:c r="D11" s="7" t="n">
        <x:f>SUMIFS('Transaksi'!$J$5:$J$185,'Transaksi'!$E$5:$E$185,A11,'Transaksi'!$M$5:$M$185,"Ya")</x:f>
        <x:v>642521</x:v>
      </x:c>
      <x:c r="E11" s="7" t="n">
        <x:f>IFERROR(D11/C11,0)</x:f>
        <x:v>214173.66666666666</x:v>
      </x:c>
      <x:c r="F11" t="str">
        <x:f>IF(D11&gt;1000000,"Prioritas review",IF(C11&gt;=3,"Pola berulang","Normal"))</x:f>
        <x:v>Pola berulang</x:v>
      </x:c>
    </x:row>
    <x:row r="12">
      <x:c r="A12" t="str">
        <x:v>ALGO MEDAN - QRIS</x:v>
      </x:c>
      <x:c r="B12" t="str">
        <x:f>INDEX('Transaksi'!$F$5:$F$185,MATCH(A12,'Transaksi'!$E$5:$E$185,0))</x:f>
        <x:v>Belanja Harian/Retail</x:v>
      </x:c>
      <x:c r="C12" t="n">
        <x:f>COUNTIFS('Transaksi'!$E$5:$E$185,A12,'Transaksi'!$M$5:$M$185,"Ya")</x:f>
        <x:v>7</x:v>
      </x:c>
      <x:c r="D12" s="7" t="n">
        <x:f>SUMIFS('Transaksi'!$J$5:$J$185,'Transaksi'!$E$5:$E$185,A12,'Transaksi'!$M$5:$M$185,"Ya")</x:f>
        <x:v>568600</x:v>
      </x:c>
      <x:c r="E12" s="7" t="n">
        <x:f>IFERROR(D12/C12,0)</x:f>
        <x:v>81228.57142857143</x:v>
      </x:c>
      <x:c r="F12" t="str">
        <x:f>IF(D12&gt;1000000,"Prioritas review",IF(C12&gt;=3,"Pola berulang","Normal"))</x:f>
        <x:v>Pola berulang</x:v>
      </x:c>
    </x:row>
    <x:row r="13">
      <x:c r="A13" t="str">
        <x:v>Tokopedia 8870881370309604</x:v>
      </x:c>
      <x:c r="B13" t="str">
        <x:f>INDEX('Transaksi'!$F$5:$F$185,MATCH(A13,'Transaksi'!$E$5:$E$185,0))</x:f>
        <x:v>Belanja Harian/Retail</x:v>
      </x:c>
      <x:c r="C13" t="n">
        <x:f>COUNTIFS('Transaksi'!$E$5:$E$185,A13,'Transaksi'!$M$5:$M$185,"Ya")</x:f>
        <x:v>1</x:v>
      </x:c>
      <x:c r="D13" s="7" t="n">
        <x:f>SUMIFS('Transaksi'!$J$5:$J$185,'Transaksi'!$E$5:$E$185,A13,'Transaksi'!$M$5:$M$185,"Ya")</x:f>
        <x:v>555250</x:v>
      </x:c>
      <x:c r="E13" s="7" t="n">
        <x:f>IFERROR(D13/C13,0)</x:f>
        <x:v>555250</x:v>
      </x:c>
      <x:c r="F13" t="str">
        <x:f>IF(D13&gt;1000000,"Prioritas review",IF(C13&gt;=3,"Pola berulang","Normal"))</x:f>
        <x:v>Normal</x:v>
      </x:c>
    </x:row>
    <x:row r="14">
      <x:c r="A14" t="str">
        <x:v>NELAYAN SHANGHAI KAFE</x:v>
      </x:c>
      <x:c r="B14" t="str">
        <x:f>INDEX('Transaksi'!$F$5:$F$185,MATCH(A14,'Transaksi'!$E$5:$E$185,0))</x:f>
        <x:v>Makan &amp; Minum</x:v>
      </x:c>
      <x:c r="C14" t="n">
        <x:f>COUNTIFS('Transaksi'!$E$5:$E$185,A14,'Transaksi'!$M$5:$M$185,"Ya")</x:f>
        <x:v>1</x:v>
      </x:c>
      <x:c r="D14" s="7" t="n">
        <x:f>SUMIFS('Transaksi'!$J$5:$J$185,'Transaksi'!$E$5:$E$185,A14,'Transaksi'!$M$5:$M$185,"Ya")</x:f>
        <x:v>504900</x:v>
      </x:c>
      <x:c r="E14" s="7" t="n">
        <x:f>IFERROR(D14/C14,0)</x:f>
        <x:v>504900</x:v>
      </x:c>
      <x:c r="F14" t="str">
        <x:f>IF(D14&gt;1000000,"Prioritas review",IF(C14&gt;=3,"Pola berulang","Normal"))</x:f>
        <x:v>Normal</x:v>
      </x:c>
    </x:row>
    <x:row r="15">
      <x:c r="A15" t="str">
        <x:v>ROHDEARNI BARUTU - Bank Rakyat Indonesia</x:v>
      </x:c>
      <x:c r="B15" t="str">
        <x:f>INDEX('Transaksi'!$F$5:$F$185,MATCH(A15,'Transaksi'!$E$5:$E$185,0))</x:f>
        <x:v>Transfer ke Orang</x:v>
      </x:c>
      <x:c r="C15" t="n">
        <x:f>COUNTIFS('Transaksi'!$E$5:$E$185,A15,'Transaksi'!$M$5:$M$185,"Ya")</x:f>
        <x:v>2</x:v>
      </x:c>
      <x:c r="D15" s="7" t="n">
        <x:f>SUMIFS('Transaksi'!$J$5:$J$185,'Transaksi'!$E$5:$E$185,A15,'Transaksi'!$M$5:$M$185,"Ya")</x:f>
        <x:v>405000</x:v>
      </x:c>
      <x:c r="E15" s="7" t="n">
        <x:f>IFERROR(D15/C15,0)</x:f>
        <x:v>202500</x:v>
      </x:c>
      <x:c r="F15" t="str">
        <x:f>IF(D15&gt;1000000,"Prioritas review",IF(C15&gt;=3,"Pola berulang","Normal"))</x:f>
        <x:v>Normal</x:v>
      </x:c>
    </x:row>
    <x:row r="16">
      <x:c r="A16" t="str">
        <x:v>THE COFFEE CROWD</x:v>
      </x:c>
      <x:c r="B16" t="str">
        <x:f>INDEX('Transaksi'!$F$5:$F$185,MATCH(A16,'Transaksi'!$E$5:$E$185,0))</x:f>
        <x:v>Makan &amp; Minum</x:v>
      </x:c>
      <x:c r="C16" t="n">
        <x:f>COUNTIFS('Transaksi'!$E$5:$E$185,A16,'Transaksi'!$M$5:$M$185,"Ya")</x:f>
        <x:v>1</x:v>
      </x:c>
      <x:c r="D16" s="7" t="n">
        <x:f>SUMIFS('Transaksi'!$J$5:$J$185,'Transaksi'!$E$5:$E$185,A16,'Transaksi'!$M$5:$M$185,"Ya")</x:f>
        <x:v>331000</x:v>
      </x:c>
      <x:c r="E16" s="7" t="n">
        <x:f>IFERROR(D16/C16,0)</x:f>
        <x:v>331000</x:v>
      </x:c>
      <x:c r="F16" t="str">
        <x:f>IF(D16&gt;1000000,"Prioritas review",IF(C16&gt;=3,"Pola berulang","Normal"))</x:f>
        <x:v>Normal</x:v>
      </x:c>
    </x:row>
    <x:row r="17">
      <x:c r="A17" t="str">
        <x:v>XVET - MR.D.I.Y FS RUKO M</x:v>
      </x:c>
      <x:c r="B17" t="str">
        <x:f>INDEX('Transaksi'!$F$5:$F$185,MATCH(A17,'Transaksi'!$E$5:$E$185,0))</x:f>
        <x:v>Belanja Harian/Retail</x:v>
      </x:c>
      <x:c r="C17" t="n">
        <x:f>COUNTIFS('Transaksi'!$E$5:$E$185,A17,'Transaksi'!$M$5:$M$185,"Ya")</x:f>
        <x:v>1</x:v>
      </x:c>
      <x:c r="D17" s="7" t="n">
        <x:f>SUMIFS('Transaksi'!$J$5:$J$185,'Transaksi'!$E$5:$E$185,A17,'Transaksi'!$M$5:$M$185,"Ya")</x:f>
        <x:v>312000</x:v>
      </x:c>
      <x:c r="E17" s="7" t="n">
        <x:f>IFERROR(D17/C17,0)</x:f>
        <x:v>312000</x:v>
      </x:c>
      <x:c r="F17" t="str">
        <x:f>IF(D17&gt;1000000,"Prioritas review",IF(C17&gt;=3,"Pola berulang","Normal"))</x:f>
        <x:v>Normal</x:v>
      </x:c>
    </x:row>
    <x:row r="18">
      <x:c r="A18" t="str">
        <x:v>JESSICA EVANGELI</x:v>
      </x:c>
      <x:c r="B18" t="str">
        <x:f>INDEX('Transaksi'!$F$5:$F$185,MATCH(A18,'Transaksi'!$E$5:$E$185,0))</x:f>
        <x:v>Transfer ke Orang</x:v>
      </x:c>
      <x:c r="C18" t="n">
        <x:f>COUNTIFS('Transaksi'!$E$5:$E$185,A18,'Transaksi'!$M$5:$M$185,"Ya")</x:f>
        <x:v>8</x:v>
      </x:c>
      <x:c r="D18" s="7" t="n">
        <x:f>SUMIFS('Transaksi'!$J$5:$J$185,'Transaksi'!$E$5:$E$185,A18,'Transaksi'!$M$5:$M$185,"Ya")</x:f>
        <x:v>291000</x:v>
      </x:c>
      <x:c r="E18" s="7" t="n">
        <x:f>IFERROR(D18/C18,0)</x:f>
        <x:v>36375</x:v>
      </x:c>
      <x:c r="F18" t="str">
        <x:f>IF(D18&gt;1000000,"Prioritas review",IF(C18&gt;=3,"Pola berulang","Normal"))</x:f>
        <x:v>Pola berulang</x:v>
      </x:c>
    </x:row>
    <x:row r="19">
      <x:c r="A19" t="str">
        <x:v>JULIA MENTARI</x:v>
      </x:c>
      <x:c r="B19" t="str">
        <x:f>INDEX('Transaksi'!$F$5:$F$185,MATCH(A19,'Transaksi'!$E$5:$E$185,0))</x:f>
        <x:v>Transfer ke Orang</x:v>
      </x:c>
      <x:c r="C19" t="n">
        <x:f>COUNTIFS('Transaksi'!$E$5:$E$185,A19,'Transaksi'!$M$5:$M$185,"Ya")</x:f>
        <x:v>4</x:v>
      </x:c>
      <x:c r="D19" s="7" t="n">
        <x:f>SUMIFS('Transaksi'!$J$5:$J$185,'Transaksi'!$E$5:$E$185,A19,'Transaksi'!$M$5:$M$185,"Ya")</x:f>
        <x:v>283250</x:v>
      </x:c>
      <x:c r="E19" s="7" t="n">
        <x:f>IFERROR(D19/C19,0)</x:f>
        <x:v>70812.5</x:v>
      </x:c>
      <x:c r="F19" t="str">
        <x:f>IF(D19&gt;1000000,"Prioritas review",IF(C19&gt;=3,"Pola berulang","Normal"))</x:f>
        <x:v>Pola berulang</x:v>
      </x:c>
    </x:row>
    <x:row r="20">
      <x:c r="A20" t="str">
        <x:v>KIMUKATSU SUN PLAZA MEDAN</x:v>
      </x:c>
      <x:c r="B20" t="str">
        <x:f>INDEX('Transaksi'!$F$5:$F$185,MATCH(A20,'Transaksi'!$E$5:$E$185,0))</x:f>
        <x:v>Makan &amp; Minum</x:v>
      </x:c>
      <x:c r="C20" t="n">
        <x:f>COUNTIFS('Transaksi'!$E$5:$E$185,A20,'Transaksi'!$M$5:$M$185,"Ya")</x:f>
        <x:v>1</x:v>
      </x:c>
      <x:c r="D20" s="7" t="n">
        <x:f>SUMIFS('Transaksi'!$J$5:$J$185,'Transaksi'!$E$5:$E$185,A20,'Transaksi'!$M$5:$M$185,"Ya")</x:f>
        <x:v>260018</x:v>
      </x:c>
      <x:c r="E20" s="7" t="n">
        <x:f>IFERROR(D20/C20,0)</x:f>
        <x:v>260018</x:v>
      </x:c>
      <x:c r="F20" t="str">
        <x:f>IF(D20&gt;1000000,"Prioritas review",IF(C20&gt;=3,"Pola berulang","Normal"))</x:f>
        <x:v>Normal</x:v>
      </x:c>
    </x:row>
    <x:row r="21">
      <x:c r="A21" t="str">
        <x:v>MIE SOP BLITAR WARISAN</x:v>
      </x:c>
      <x:c r="B21" t="str">
        <x:f>INDEX('Transaksi'!$F$5:$F$185,MATCH(A21,'Transaksi'!$E$5:$E$185,0))</x:f>
        <x:v>Makan &amp; Minum</x:v>
      </x:c>
      <x:c r="C21" t="n">
        <x:f>COUNTIFS('Transaksi'!$E$5:$E$185,A21,'Transaksi'!$M$5:$M$185,"Ya")</x:f>
        <x:v>2</x:v>
      </x:c>
      <x:c r="D21" s="7" t="n">
        <x:f>SUMIFS('Transaksi'!$J$5:$J$185,'Transaksi'!$E$5:$E$185,A21,'Transaksi'!$M$5:$M$185,"Ya")</x:f>
        <x:v>238000</x:v>
      </x:c>
      <x:c r="E21" s="7" t="n">
        <x:f>IFERROR(D21/C21,0)</x:f>
        <x:v>119000</x:v>
      </x:c>
      <x:c r="F21" t="str">
        <x:f>IF(D21&gt;1000000,"Prioritas review",IF(C21&gt;=3,"Pola berulang","Normal"))</x:f>
        <x:v>Normal</x:v>
      </x:c>
    </x:row>
    <x:row r="22">
      <x:c r="A22" t="str">
        <x:v>NAZWA KUE - BRI</x:v>
      </x:c>
      <x:c r="B22" t="str">
        <x:f>INDEX('Transaksi'!$F$5:$F$185,MATCH(A22,'Transaksi'!$E$5:$E$185,0))</x:f>
        <x:v>Makan &amp; Minum</x:v>
      </x:c>
      <x:c r="C22" t="n">
        <x:f>COUNTIFS('Transaksi'!$E$5:$E$185,A22,'Transaksi'!$M$5:$M$185,"Ya")</x:f>
        <x:v>1</x:v>
      </x:c>
      <x:c r="D22" s="7" t="n">
        <x:f>SUMIFS('Transaksi'!$J$5:$J$185,'Transaksi'!$E$5:$E$185,A22,'Transaksi'!$M$5:$M$185,"Ya")</x:f>
        <x:v>225500</x:v>
      </x:c>
      <x:c r="E22" s="7" t="n">
        <x:f>IFERROR(D22/C22,0)</x:f>
        <x:v>225500</x:v>
      </x:c>
      <x:c r="F22" t="str">
        <x:f>IF(D22&gt;1000000,"Prioritas review",IF(C22&gt;=3,"Pola berulang","Normal"))</x:f>
        <x:v>Normal</x:v>
      </x:c>
    </x:row>
    <x:row r="23">
      <x:c r="A23" t="str">
        <x:v>KIMUKATSU DELI PARK MDN</x:v>
      </x:c>
      <x:c r="B23" t="str">
        <x:f>INDEX('Transaksi'!$F$5:$F$185,MATCH(A23,'Transaksi'!$E$5:$E$185,0))</x:f>
        <x:v>Makan &amp; Minum</x:v>
      </x:c>
      <x:c r="C23" t="n">
        <x:f>COUNTIFS('Transaksi'!$E$5:$E$185,A23,'Transaksi'!$M$5:$M$185,"Ya")</x:f>
        <x:v>1</x:v>
      </x:c>
      <x:c r="D23" s="7" t="n">
        <x:f>SUMIFS('Transaksi'!$J$5:$J$185,'Transaksi'!$E$5:$E$185,A23,'Transaksi'!$M$5:$M$185,"Ya")</x:f>
        <x:v>222706</x:v>
      </x:c>
      <x:c r="E23" s="7" t="n">
        <x:f>IFERROR(D23/C23,0)</x:f>
        <x:v>222706</x:v>
      </x:c>
      <x:c r="F23" t="str">
        <x:f>IF(D23&gt;1000000,"Prioritas review",IF(C23&gt;=3,"Pola berulang","Normal"))</x:f>
        <x:v>Normal</x:v>
      </x:c>
    </x:row>
    <x:row r="24">
      <x:c r="A24" t="str">
        <x:v>Sbux Cemara Asri Medan</x:v>
      </x:c>
      <x:c r="B24" t="str">
        <x:f>INDEX('Transaksi'!$F$5:$F$185,MATCH(A24,'Transaksi'!$E$5:$E$185,0))</x:f>
        <x:v>Makan &amp; Minum</x:v>
      </x:c>
      <x:c r="C24" t="n">
        <x:f>COUNTIFS('Transaksi'!$E$5:$E$185,A24,'Transaksi'!$M$5:$M$185,"Ya")</x:f>
        <x:v>2</x:v>
      </x:c>
      <x:c r="D24" s="7" t="n">
        <x:f>SUMIFS('Transaksi'!$J$5:$J$185,'Transaksi'!$E$5:$E$185,A24,'Transaksi'!$M$5:$M$185,"Ya")</x:f>
        <x:v>210000</x:v>
      </x:c>
      <x:c r="E24" s="7" t="n">
        <x:f>IFERROR(D24/C24,0)</x:f>
        <x:v>105000</x:v>
      </x:c>
      <x:c r="F24" t="str">
        <x:f>IF(D24&gt;1000000,"Prioritas review",IF(C24&gt;=3,"Pola berulang","Normal"))</x:f>
        <x:v>Normal</x:v>
      </x:c>
    </x:row>
  </x:sheetData>
  <x:mergeCells>
    <x:mergeCell ref="A1:F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.88999938964844" hidden="0" customWidth="1"/>
    <x:col min="2" max="2" width="56.88999938964844" hidden="0" customWidth="1"/>
    <x:col min="3" max="3" width="56.88999938964844" hidden="0" customWidth="1"/>
    <x:col min="4" max="4" width="56.88999938964844" hidden="0" customWidth="1"/>
    <x:col min="5" max="5" width="56.88999938964844" hidden="0" customWidth="1"/>
    <x:col min="6" max="6" width="56.88999938964844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5.5" customHeight="1">
      <x:c r="A1" s="2" t="str">
        <x:v>Dashboard Pengeluaran Livin Mandiri</x:v>
      </x:c>
      <x:c r="B1" s="2" t="str">
        <x:v>Dashboard Pengeluaran Livin Mandiri</x:v>
      </x:c>
      <x:c r="C1" s="2" t="str">
        <x:v>Dashboard Pengeluaran Livin Mandiri</x:v>
      </x:c>
      <x:c r="D1" s="2" t="str">
        <x:v>Dashboard Pengeluaran Livin Mandiri</x:v>
      </x:c>
      <x:c r="E1" s="2" t="str">
        <x:v>Dashboard Pengeluaran Livin Mandiri</x:v>
      </x:c>
      <x:c r="F1" s="2" t="str">
        <x:v>Dashboard Pengeluaran Livin Mandiri</x:v>
      </x:c>
      <x:c r="G1" s="2" t="str">
        <x:v>Dashboard Pengeluaran Livin Mandiri</x:v>
      </x:c>
      <x:c r="H1" s="2" t="str">
        <x:v>Dashboard Pengeluaran Livin Mandiri</x:v>
      </x:c>
      <x:c r="I1" s="2" t="str">
        <x:v>Dashboard Pengeluaran Livin Mandiri</x:v>
      </x:c>
      <x:c r="J1" s="2" t="str">
        <x:v>Dashboard Pengeluaran Livin Mandiri</x:v>
      </x:c>
      <x:c r="K1" s="2" t="str">
        <x:v>Dashboard Pengeluaran Livin Mandiri</x:v>
      </x:c>
    </x:row>
    <x:row r="2">
      <x:c r="A2" s="3" t="str">
        <x:v>Maret 2026 - 25 Juni 2026 | Dibuat dari Gmail noreply.livin@bankmandiri.co.id</x:v>
      </x:c>
      <x:c r="B2" s="3" t="str">
        <x:v>Maret 2026 - 25 Juni 2026 | Dibuat dari Gmail noreply.livin@bankmandiri.co.id</x:v>
      </x:c>
      <x:c r="C2" s="3" t="str">
        <x:v>Maret 2026 - 25 Juni 2026 | Dibuat dari Gmail noreply.livin@bankmandiri.co.id</x:v>
      </x:c>
      <x:c r="D2" s="3" t="str">
        <x:v>Maret 2026 - 25 Juni 2026 | Dibuat dari Gmail noreply.livin@bankmandiri.co.id</x:v>
      </x:c>
      <x:c r="E2" s="3" t="str">
        <x:v>Maret 2026 - 25 Juni 2026 | Dibuat dari Gmail noreply.livin@bankmandiri.co.id</x:v>
      </x:c>
      <x:c r="F2" s="3" t="str">
        <x:v>Maret 2026 - 25 Juni 2026 | Dibuat dari Gmail noreply.livin@bankmandiri.co.id</x:v>
      </x:c>
      <x:c r="G2" s="3" t="str">
        <x:v>Maret 2026 - 25 Juni 2026 | Dibuat dari Gmail noreply.livin@bankmandiri.co.id</x:v>
      </x:c>
      <x:c r="H2" s="3" t="str">
        <x:v>Maret 2026 - 25 Juni 2026 | Dibuat dari Gmail noreply.livin@bankmandiri.co.id</x:v>
      </x:c>
      <x:c r="I2" s="3" t="str">
        <x:v>Maret 2026 - 25 Juni 2026 | Dibuat dari Gmail noreply.livin@bankmandiri.co.id</x:v>
      </x:c>
      <x:c r="J2" s="3" t="str">
        <x:v>Maret 2026 - 25 Juni 2026 | Dibuat dari Gmail noreply.livin@bankmandiri.co.id</x:v>
      </x:c>
    </x:row>
    <x:row r="4">
      <x:c r="A4" s="5" t="str">
        <x:v>KPI</x:v>
      </x:c>
      <x:c r="B4" s="5" t="str">
        <x:v>Nilai</x:v>
      </x:c>
      <x:c r="C4" s="5" t="str"/>
      <x:c r="D4" s="5" t="str">
        <x:v>KPI</x:v>
      </x:c>
      <x:c r="E4" s="5" t="str">
        <x:v>Nilai</x:v>
      </x:c>
      <x:c r="F4" t="str"/>
      <x:c r="G4" t="str">
        <x:v>Catatan Cepat</x:v>
      </x:c>
      <x:c r="H4" t="str"/>
      <x:c r="I4" t="str"/>
      <x:c r="J4" t="str"/>
      <x:c r="K4" t="str"/>
      <x:c r="M4" t="str">
        <x:v>Bulan</x:v>
      </x:c>
      <x:c r="N4" t="str">
        <x:v>Arus Keluar Bank</x:v>
      </x:c>
      <x:c r="O4" t="str">
        <x:v>Pengeluaran Hidup</x:v>
      </x:c>
      <x:c r="Q4" t="str">
        <x:v>Kategori</x:v>
      </x:c>
      <x:c r="R4" t="str">
        <x:v>Pengeluaran Hidup</x:v>
      </x:c>
    </x:row>
    <x:row r="5" ht="21" customHeight="1">
      <x:c r="A5" s="19" t="str">
        <x:v>Email ditemukan</x:v>
      </x:c>
      <x:c r="B5" s="19" t="n">
        <x:v>181</x:v>
      </x:c>
      <x:c r="C5" s="19"/>
      <x:c r="D5" s="19" t="str">
        <x:v>Transaksi non-pengeluaran/gagal</x:v>
      </x:c>
      <x:c r="E5" s="19" t="n">
        <x:v>12</x:v>
      </x:c>
      <x:c r="G5" s="24" t="str">
        <x:v>1. Pisahkan dompet digital dari pengeluaran final; angka GoPay/DANA masih agregat.</x:v>
      </x:c>
      <x:c r="H5" s="24" t="str">
        <x:v>1. Pisahkan dompet digital dari pengeluaran final; angka GoPay/DANA masih agregat.</x:v>
      </x:c>
      <x:c r="I5" s="24" t="str">
        <x:v>1. Pisahkan dompet digital dari pengeluaran final; angka GoPay/DANA masih agregat.</x:v>
      </x:c>
      <x:c r="J5" s="24" t="str">
        <x:v>1. Pisahkan dompet digital dari pengeluaran final; angka GoPay/DANA masih agregat.</x:v>
      </x:c>
      <x:c r="K5" s="24" t="str">
        <x:v>1. Pisahkan dompet digital dari pengeluaran final; angka GoPay/DANA masih agregat.</x:v>
      </x:c>
      <x:c r="M5" t="str">
        <x:f>'Ringkasan Bulanan'!A5</x:f>
        <x:v>Mar 2026</x:v>
      </x:c>
      <x:c r="N5" t="n">
        <x:f>'Ringkasan Bulanan'!C5</x:f>
        <x:v>5408886</x:v>
      </x:c>
      <x:c r="O5" t="n">
        <x:f>'Ringkasan Bulanan'!D5</x:f>
        <x:v>5273886</x:v>
      </x:c>
      <x:c r="Q5" t="str">
        <x:f>'Ringkasan Kategori'!A5</x:f>
        <x:v>Transfer ke Orang</x:v>
      </x:c>
      <x:c r="R5" t="n">
        <x:f>'Ringkasan Kategori'!C5</x:f>
        <x:v>13649750</x:v>
      </x:c>
    </x:row>
    <x:row r="6" ht="21" customHeight="1">
      <x:c r="A6" s="19" t="str">
        <x:v>Arus keluar bank</x:v>
      </x:c>
      <x:c r="B6" s="20" t="n">
        <x:v>37819421</x:v>
      </x:c>
      <x:c r="C6" s="19"/>
      <x:c r="D6" s="19" t="str">
        <x:v>Transaksi perlu review</x:v>
      </x:c>
      <x:c r="E6" s="19" t="n">
        <x:v>7</x:v>
      </x:c>
      <x:c r="G6" s="24" t="str">
        <x:v>2. April melonjak karena transfer besar Rp10.002.500; cek apakah hutang, keluarga, atau bisnis.</x:v>
      </x:c>
      <x:c r="H6" s="24" t="str">
        <x:v>2. April melonjak karena transfer besar Rp10.002.500; cek apakah hutang, keluarga, atau bisnis.</x:v>
      </x:c>
      <x:c r="I6" s="24" t="str">
        <x:v>2. April melonjak karena transfer besar Rp10.002.500; cek apakah hutang, keluarga, atau bisnis.</x:v>
      </x:c>
      <x:c r="J6" s="24" t="str">
        <x:v>2. April melonjak karena transfer besar Rp10.002.500; cek apakah hutang, keluarga, atau bisnis.</x:v>
      </x:c>
      <x:c r="K6" s="24" t="str">
        <x:v>2. April melonjak karena transfer besar Rp10.002.500; cek apakah hutang, keluarga, atau bisnis.</x:v>
      </x:c>
      <x:c r="M6" t="str">
        <x:f>'Ringkasan Bulanan'!A6</x:f>
        <x:v>Apr 2026</x:v>
      </x:c>
      <x:c r="N6" t="n">
        <x:f>'Ringkasan Bulanan'!C6</x:f>
        <x:v>20113537</x:v>
      </x:c>
      <x:c r="O6" t="n">
        <x:f>'Ringkasan Bulanan'!D6</x:f>
        <x:v>19911037</x:v>
      </x:c>
      <x:c r="Q6" t="str">
        <x:f>'Ringkasan Kategori'!A6</x:f>
        <x:v>Dompet Digital &amp; Aggregator</x:v>
      </x:c>
      <x:c r="R6" t="n">
        <x:f>'Ringkasan Kategori'!C6</x:f>
        <x:v>12932454</x:v>
      </x:c>
    </x:row>
    <x:row r="7" ht="21" customHeight="1">
      <x:c r="A7" s="19" t="str">
        <x:v>Pengeluaran hidup</x:v>
      </x:c>
      <x:c r="B7" s="20" t="n">
        <x:v>35309421</x:v>
      </x:c>
      <x:c r="C7" s="19"/>
      <x:c r="D7" s="19" t="str">
        <x:v>Nominal perlu review</x:v>
      </x:c>
      <x:c r="E7" s="20" t="n">
        <x:v>20085523</x:v>
      </x:c>
      <x:c r="G7" s="24" t="str">
        <x:v>3. Kategori makan/minum, retail, dan transfer kecil berulang cocok dipasang batas mingguan.</x:v>
      </x:c>
      <x:c r="H7" s="24" t="str">
        <x:v>3. Kategori makan/minum, retail, dan transfer kecil berulang cocok dipasang batas mingguan.</x:v>
      </x:c>
      <x:c r="I7" s="24" t="str">
        <x:v>3. Kategori makan/minum, retail, dan transfer kecil berulang cocok dipasang batas mingguan.</x:v>
      </x:c>
      <x:c r="J7" s="24" t="str">
        <x:v>3. Kategori makan/minum, retail, dan transfer kecil berulang cocok dipasang batas mingguan.</x:v>
      </x:c>
      <x:c r="K7" s="24" t="str">
        <x:v>3. Kategori makan/minum, retail, dan transfer kecil berulang cocok dipasang batas mingguan.</x:v>
      </x:c>
      <x:c r="M7" t="str">
        <x:f>'Ringkasan Bulanan'!A7</x:f>
        <x:v>May 2026</x:v>
      </x:c>
      <x:c r="N7" t="n">
        <x:f>'Ringkasan Bulanan'!C7</x:f>
        <x:v>3603574</x:v>
      </x:c>
      <x:c r="O7" t="n">
        <x:f>'Ringkasan Bulanan'!D7</x:f>
        <x:v>2933574</x:v>
      </x:c>
      <x:c r="Q7" t="str">
        <x:f>'Ringkasan Kategori'!A7</x:f>
        <x:v>Makan &amp; Minum</x:v>
      </x:c>
      <x:c r="R7" t="n">
        <x:f>'Ringkasan Kategori'!C7</x:f>
        <x:v>3813014</x:v>
      </x:c>
    </x:row>
    <x:row r="8" ht="21" customHeight="1">
      <x:c r="A8" s="19" t="str">
        <x:v>Transfer diri/tabungan</x:v>
      </x:c>
      <x:c r="B8" s="20" t="n">
        <x:v>2510000</x:v>
      </x:c>
      <x:c r="C8" s="19"/>
      <x:c r="D8" s="19" t="str">
        <x:v>Rata-rata hidup Mar-May</x:v>
      </x:c>
      <x:c r="E8" s="20" t="n">
        <x:v>9372832</x:v>
      </x:c>
      <x:c r="G8" s="24" t="str">
        <x:v>4. Transfer ke rekening sendiri jangan dianggap hilang jika memang tabungan; tandai rekening tujuan.</x:v>
      </x:c>
      <x:c r="H8" s="24" t="str">
        <x:v>4. Transfer ke rekening sendiri jangan dianggap hilang jika memang tabungan; tandai rekening tujuan.</x:v>
      </x:c>
      <x:c r="I8" s="24" t="str">
        <x:v>4. Transfer ke rekening sendiri jangan dianggap hilang jika memang tabungan; tandai rekening tujuan.</x:v>
      </x:c>
      <x:c r="J8" s="24" t="str">
        <x:v>4. Transfer ke rekening sendiri jangan dianggap hilang jika memang tabungan; tandai rekening tujuan.</x:v>
      </x:c>
      <x:c r="K8" s="24" t="str">
        <x:v>4. Transfer ke rekening sendiri jangan dianggap hilang jika memang tabungan; tandai rekening tujuan.</x:v>
      </x:c>
      <x:c r="M8" t="str">
        <x:f>'Ringkasan Bulanan'!A8</x:f>
        <x:v>Jun 2026</x:v>
      </x:c>
      <x:c r="N8" t="n">
        <x:f>'Ringkasan Bulanan'!C8</x:f>
        <x:v>8693424</x:v>
      </x:c>
      <x:c r="O8" t="n">
        <x:f>'Ringkasan Bulanan'!D8</x:f>
        <x:v>7190924</x:v>
      </x:c>
      <x:c r="Q8" t="str">
        <x:f>'Ringkasan Kategori'!A8</x:f>
        <x:v>Belanja Harian/Retail</x:v>
      </x:c>
      <x:c r="R8" t="n">
        <x:f>'Ringkasan Kategori'!C8</x:f>
        <x:v>2593047</x:v>
      </x:c>
    </x:row>
    <x:row r="9" ht="21" customHeight="1">
      <x:c r="A9" s="19" t="str">
        <x:v>Dompet digital/aggregator</x:v>
      </x:c>
      <x:c r="B9" s="20" t="n">
        <x:v>12932454</x:v>
      </x:c>
      <x:c r="C9" s="19"/>
      <x:c r="D9" s="19" t="str">
        <x:v>Target survival 80%</x:v>
      </x:c>
      <x:c r="E9" s="20" t="n">
        <x:v>7498266</x:v>
      </x:c>
      <x:c r="G9" s="24" t="str">
        <x:v>5. Untuk bertahan hidup, pakai target survival 80% dari rata-rata Mar-May sebagai baseline awal.</x:v>
      </x:c>
      <x:c r="H9" s="24" t="str">
        <x:v>5. Untuk bertahan hidup, pakai target survival 80% dari rata-rata Mar-May sebagai baseline awal.</x:v>
      </x:c>
      <x:c r="I9" s="24" t="str">
        <x:v>5. Untuk bertahan hidup, pakai target survival 80% dari rata-rata Mar-May sebagai baseline awal.</x:v>
      </x:c>
      <x:c r="J9" s="24" t="str">
        <x:v>5. Untuk bertahan hidup, pakai target survival 80% dari rata-rata Mar-May sebagai baseline awal.</x:v>
      </x:c>
      <x:c r="K9" s="24" t="str">
        <x:v>5. Untuk bertahan hidup, pakai target survival 80% dari rata-rata Mar-May sebagai baseline awal.</x:v>
      </x:c>
      <x:c r="Q9" t="str">
        <x:f>'Ringkasan Kategori'!A9</x:f>
        <x:v>Profesional/Tools</x:v>
      </x:c>
      <x:c r="R9" t="n">
        <x:f>'Ringkasan Kategori'!C9</x:f>
        <x:v>743483</x:v>
      </x:c>
    </x:row>
    <x:row r="10" ht="21" customHeight="1">
      <x:c r="A10" s="19" t="str">
        <x:v>Transfer ke orang</x:v>
      </x:c>
      <x:c r="B10" s="20" t="n">
        <x:v>13649750</x:v>
      </x:c>
      <x:c r="C10" s="19"/>
      <x:c r="D10" s="19" t="str">
        <x:v>Potensi cut 20%</x:v>
      </x:c>
      <x:c r="E10" s="20" t="n">
        <x:v>1874566</x:v>
      </x:c>
      <x:c r="G10" s="24" t="str"/>
      <x:c r="H10" s="24" t="str"/>
      <x:c r="I10" s="24" t="str"/>
      <x:c r="J10" s="24" t="str"/>
      <x:c r="K10" s="24" t="str"/>
      <x:c r="Q10" t="str">
        <x:f>'Ringkasan Kategori'!A10</x:f>
        <x:v>Digital, Gaming &amp; Aplikasi</x:v>
      </x:c>
      <x:c r="R10" t="n">
        <x:f>'Ringkasan Kategori'!C10</x:f>
        <x:v>647253</x:v>
      </x:c>
    </x:row>
    <x:row r="11" ht="25.5" customHeight="1">
      <x:c r="G11" s="24" t="str">
        <x:v>Query Gmail: in:anywhere from:noreply.livin@bankmandiri.co.id after:2026/3/1 before:2026/6/26</x:v>
      </x:c>
      <x:c r="H11" s="24" t="str">
        <x:v>Query Gmail: in:anywhere from:noreply.livin@bankmandiri.co.id after:2026/3/1 before:2026/6/26</x:v>
      </x:c>
      <x:c r="I11" s="24" t="str">
        <x:v>Query Gmail: in:anywhere from:noreply.livin@bankmandiri.co.id after:2026/3/1 before:2026/6/26</x:v>
      </x:c>
      <x:c r="J11" s="24" t="str">
        <x:v>Query Gmail: in:anywhere from:noreply.livin@bankmandiri.co.id after:2026/3/1 before:2026/6/26</x:v>
      </x:c>
      <x:c r="K11" s="24" t="str">
        <x:v>Query Gmail: in:anywhere from:noreply.livin@bankmandiri.co.id after:2026/3/1 before:2026/6/26</x:v>
      </x:c>
      <x:c r="Q11" t="str">
        <x:f>'Ringkasan Kategori'!A11</x:f>
        <x:v>Kesehatan &amp; Obat</x:v>
      </x:c>
      <x:c r="R11" t="n">
        <x:f>'Ringkasan Kategori'!C11</x:f>
        <x:v>496600</x:v>
      </x:c>
    </x:row>
    <x:row r="12">
      <x:c r="Q12" t="str">
        <x:f>'Ringkasan Kategori'!A12</x:f>
        <x:v>Transportasi &amp; BBM</x:v>
      </x:c>
      <x:c r="R12" t="n">
        <x:f>'Ringkasan Kategori'!C12</x:f>
        <x:v>291820</x:v>
      </x:c>
    </x:row>
  </x:sheetData>
  <x:mergeCells>
    <x:mergeCell ref="A1:K1"/>
    <x:mergeCell ref="A2:J2"/>
    <x:mergeCell ref="G5:K5"/>
    <x:mergeCell ref="G6:K6"/>
    <x:mergeCell ref="G7:K7"/>
    <x:mergeCell ref="G8:K8"/>
    <x:mergeCell ref="G9:K9"/>
    <x:mergeCell ref="G10:K10"/>
    <x:mergeCell ref="G11:K11"/>
  </x:mergeCells>
  <x:pageMargins left="0.7" right="0.7" top="0.75" bottom="0.75" header="0.3" footer="0.3"/>
  <x:drawing xmlns:r="http://schemas.openxmlformats.org/officeDocument/2006/relationships" r:id="R87220d5e8e8b488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33000183105469" hidden="0" customWidth="1"/>
    <x:col min="2" max="2" width="57.33000183105469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5.5" customHeight="1">
      <x:c r="A1" s="2" t="str">
        <x:v>Strategi Bertahan &amp; Menabung</x:v>
      </x:c>
      <x:c r="B1" s="2" t="str">
        <x:v>Strategi Bertahan &amp; Menabung</x:v>
      </x:c>
      <x:c r="C1" s="2" t="str">
        <x:v>Strategi Bertahan &amp; Menabung</x:v>
      </x:c>
      <x:c r="D1" s="2" t="str">
        <x:v>Strategi Bertahan &amp; Menabung</x:v>
      </x:c>
      <x:c r="E1" s="2" t="str">
        <x:v>Strategi Bertahan &amp; Menabung</x:v>
      </x:c>
    </x:row>
    <x:row r="2">
      <x:c r="A2" s="3" t="str">
        <x:v>Gunakan sebagai rencana aksi, lalu update sesuai pemasukan bulanan aktual.</x:v>
      </x:c>
      <x:c r="B2" s="3" t="str">
        <x:v>Gunakan sebagai rencana aksi, lalu update sesuai pemasukan bulanan aktual.</x:v>
      </x:c>
      <x:c r="C2" s="3" t="str">
        <x:v>Gunakan sebagai rencana aksi, lalu update sesuai pemasukan bulanan aktual.</x:v>
      </x:c>
      <x:c r="D2" s="3" t="str">
        <x:v>Gunakan sebagai rencana aksi, lalu update sesuai pemasukan bulanan aktual.</x:v>
      </x:c>
      <x:c r="E2" s="3" t="str">
        <x:v>Gunakan sebagai rencana aksi, lalu update sesuai pemasukan bulanan aktual.</x:v>
      </x:c>
      <x:c r="F2" s="3" t="str">
        <x:v>Gunakan sebagai rencana aksi, lalu update sesuai pemasukan bulanan aktual.</x:v>
      </x:c>
      <x:c r="G2" s="3" t="str">
        <x:v>Gunakan sebagai rencana aksi, lalu update sesuai pemasukan bulanan aktual.</x:v>
      </x:c>
      <x:c r="H2" s="3" t="str">
        <x:v>Gunakan sebagai rencana aksi, lalu update sesuai pemasukan bulanan aktual.</x:v>
      </x:c>
      <x:c r="I2" s="3" t="str">
        <x:v>Gunakan sebagai rencana aksi, lalu update sesuai pemasukan bulanan aktual.</x:v>
      </x:c>
      <x:c r="J2" s="3" t="str">
        <x:v>Gunakan sebagai rencana aksi, lalu update sesuai pemasukan bulanan aktual.</x:v>
      </x:c>
    </x:row>
    <x:row r="4">
      <x:c r="A4" s="5" t="str">
        <x:v>Input</x:v>
      </x:c>
      <x:c r="B4" s="5" t="str">
        <x:v>Nilai</x:v>
      </x:c>
      <x:c r="C4" s="5" t="str">
        <x:v>Formula/Notes</x:v>
      </x:c>
      <x:c r="D4" s="5" t="str"/>
    </x:row>
    <x:row r="5">
      <x:c r="A5" t="str">
        <x:v>Pemasukan bersih bulanan</x:v>
      </x:c>
      <x:c r="B5" s="7" t="str"/>
      <x:c r="C5" t="str">
        <x:v>Isi manual untuk hitung rasio tabungan</x:v>
      </x:c>
      <x:c r="D5" t="str"/>
    </x:row>
    <x:row r="6">
      <x:c r="A6" t="str">
        <x:v>Target tabungan</x:v>
      </x:c>
      <x:c r="B6" s="25" t="n">
        <x:v>0.2</x:v>
      </x:c>
      <x:c r="C6" t="str">
        <x:v>Default 20%</x:v>
      </x:c>
      <x:c r="D6" t="str"/>
    </x:row>
    <x:row r="7">
      <x:c r="A7" t="str">
        <x:v>Target survival spending</x:v>
      </x:c>
      <x:c r="B7" s="7" t="n">
        <x:v>7498266</x:v>
      </x:c>
      <x:c r="C7" t="str">
        <x:v>80% dari rata-rata pengeluaran hidup Mar-May</x:v>
      </x:c>
      <x:c r="D7" t="str"/>
    </x:row>
    <x:row r="8">
      <x:c r="A8" t="str">
        <x:v>Potensi penghematan awal</x:v>
      </x:c>
      <x:c r="B8" s="7" t="n">
        <x:v>1874566</x:v>
      </x:c>
      <x:c r="C8" t="str">
        <x:v>20% dari rata-rata pengeluaran hidup Mar-May</x:v>
      </x:c>
      <x:c r="D8" t="str"/>
    </x:row>
    <x:row r="11">
      <x:c r="A11" s="18" t="str">
        <x:v>Prioritas</x:v>
      </x:c>
      <x:c r="B11" s="18" t="str">
        <x:v>Area</x:v>
      </x:c>
      <x:c r="C11" s="18" t="str">
        <x:v>Masalah</x:v>
      </x:c>
      <x:c r="D11" s="18" t="str">
        <x:v>Aksi 30 Hari</x:v>
      </x:c>
      <x:c r="E11" s="18" t="str">
        <x:v>Metric</x:v>
      </x:c>
    </x:row>
    <x:row r="12">
      <x:c r="A12" s="19" t="str">
        <x:v>1</x:v>
      </x:c>
      <x:c r="B12" s="19" t="str">
        <x:v>Dompet digital/aggregator</x:v>
      </x:c>
      <x:c r="C12" s="26" t="str">
        <x:v>Rp 12.932.454 keluar via GoPay/DANA/aggregator</x:v>
      </x:c>
      <x:c r="D12" s="26" t="str">
        <x:v>Pisahkan top-up wajib vs impulsif; buat plafon mingguan dan rekonsiliasi mutasi GoPay/DANA.</x:v>
      </x:c>
      <x:c r="E12" s="26" t="str">
        <x:v>Top-up mingguan &lt;= plafon</x:v>
      </x:c>
    </x:row>
    <x:row r="13">
      <x:c r="A13" s="19" t="str">
        <x:v>2</x:v>
      </x:c>
      <x:c r="B13" s="19" t="str">
        <x:v>Transfer ke orang</x:v>
      </x:c>
      <x:c r="C13" s="26" t="str">
        <x:v>Rp 13.649.750 tercatat sebagai transfer orang</x:v>
      </x:c>
      <x:c r="D13" s="26" t="str">
        <x:v>Wajib isi keterangan tujuan, gabungkan transfer kecil, dan review transfer di atas Rp100.000.</x:v>
      </x:c>
      <x:c r="E13" s="26" t="str">
        <x:v>% transfer ber-keterangan</x:v>
      </x:c>
    </x:row>
    <x:row r="14">
      <x:c r="A14" s="19" t="str">
        <x:v>3</x:v>
      </x:c>
      <x:c r="B14" s="19" t="str">
        <x:v>Makan &amp; minum/cafe</x:v>
      </x:c>
      <x:c r="C14" s="26" t="str">
        <x:v>Banyak transaksi kecil berulang dan beberapa cafe/resto besar</x:v>
      </x:c>
      <x:c r="D14" s="26" t="str">
        <x:v>Tetapkan amplop makan luar; bawa bekal di hari kerja; cafe hanya dengan kuota.</x:v>
      </x:c>
      <x:c r="E14" s="26" t="str">
        <x:v>Total makan luar/minggu</x:v>
      </x:c>
    </x:row>
    <x:row r="15">
      <x:c r="A15" s="19" t="str">
        <x:v>4</x:v>
      </x:c>
      <x:c r="B15" s="19" t="str">
        <x:v>Belanja online/retail</x:v>
      </x:c>
      <x:c r="C15" s="26" t="str">
        <x:v>Tokopedia, MR.DIY, ALGO, minimarket perlu dipisah kebutuhan vs keinginan</x:v>
      </x:c>
      <x:c r="D15" s="26" t="str">
        <x:v>Buat cooling period 24 jam untuk belanja non-obat/non-makanan.</x:v>
      </x:c>
      <x:c r="E15" s="26" t="str">
        <x:v>Jumlah transaksi impulsif</x:v>
      </x:c>
    </x:row>
    <x:row r="16">
      <x:c r="A16" s="19" t="str">
        <x:v>5</x:v>
      </x:c>
      <x:c r="B16" s="19" t="str">
        <x:v>Transfer diri</x:v>
      </x:c>
      <x:c r="C16" s="26" t="str">
        <x:v>Rp 2.510.000 keluar ke rekening sendiri</x:v>
      </x:c>
      <x:c r="D16" s="26" t="str">
        <x:v>Jika itu tabungan, tandai sebagai pay-yourself-first dan jangan dihitung sebagai biaya hidup.</x:v>
      </x:c>
      <x:c r="E16" s="26" t="str">
        <x:v>Saldo rekening tujuan naik</x:v>
      </x:c>
    </x:row>
    <x:row r="17">
      <x:c r="A17" s="19" t="str">
        <x:v>6</x:v>
      </x:c>
      <x:c r="B17" s="19" t="str">
        <x:v>Transaksi besar</x:v>
      </x:c>
      <x:c r="C17" s="26" t="str">
        <x:v>Rp 20.085.523 masuk flag review</x:v>
      </x:c>
      <x:c r="D17" s="26" t="str">
        <x:v>Buat daftar transaksi besar: wajib ada tujuan, bukti, dan apakah recurring.</x:v>
      </x:c>
      <x:c r="E17" s="26" t="str">
        <x:v>100% transaksi besar terjelaskan</x:v>
      </x:c>
    </x:row>
    <x:row r="18">
      <x:c r="A18" s="19" t="str">
        <x:v>7</x:v>
      </x:c>
      <x:c r="B18" s="19" t="str">
        <x:v>Dana darurat</x:v>
      </x:c>
      <x:c r="C18" s="26" t="str">
        <x:v>Belum ada data pemasukan/saldo</x:v>
      </x:c>
      <x:c r="D18" s="26" t="str">
        <x:v>Setelah isi pemasukan, set auto-save di awal bulan minimal sesuai target tabungan.</x:v>
      </x:c>
      <x:c r="E18" s="26" t="str">
        <x:v>Auto-save aktif</x:v>
      </x:c>
    </x:row>
  </x:sheetData>
  <x:mergeCells>
    <x:mergeCell ref="A1:E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66999816894531" hidden="0" customWidth="1"/>
    <x:col min="2" max="2" width="92" hidden="0" customWidth="1"/>
  </x:cols>
  <x:sheetData>
    <x:row r="1" ht="25.5" customHeight="1">
      <x:c r="A1" s="2" t="str">
        <x:v>Sumber &amp; Metode</x:v>
      </x:c>
      <x:c r="B1" s="2" t="str">
        <x:v>Sumber &amp; Metode</x:v>
      </x:c>
    </x:row>
    <x:row r="2">
      <x:c r="A2" s="3" t="str">
        <x:v>Catatan audit atas ekstraksi dan kategorisasi.</x:v>
      </x:c>
      <x:c r="B2" s="3" t="str">
        <x:v>Catatan audit atas ekstraksi dan kategorisasi.</x:v>
      </x:c>
      <x:c r="C2" s="3" t="str">
        <x:v>Catatan audit atas ekstraksi dan kategorisasi.</x:v>
      </x:c>
      <x:c r="D2" s="3" t="str">
        <x:v>Catatan audit atas ekstraksi dan kategorisasi.</x:v>
      </x:c>
      <x:c r="E2" s="3" t="str">
        <x:v>Catatan audit atas ekstraksi dan kategorisasi.</x:v>
      </x:c>
      <x:c r="F2" s="3" t="str">
        <x:v>Catatan audit atas ekstraksi dan kategorisasi.</x:v>
      </x:c>
      <x:c r="G2" s="3" t="str">
        <x:v>Catatan audit atas ekstraksi dan kategorisasi.</x:v>
      </x:c>
      <x:c r="H2" s="3" t="str">
        <x:v>Catatan audit atas ekstraksi dan kategorisasi.</x:v>
      </x:c>
      <x:c r="I2" s="3" t="str">
        <x:v>Catatan audit atas ekstraksi dan kategorisasi.</x:v>
      </x:c>
      <x:c r="J2" s="3" t="str">
        <x:v>Catatan audit atas ekstraksi dan kategorisasi.</x:v>
      </x:c>
    </x:row>
    <x:row r="4">
      <x:c r="A4" s="28" t="str">
        <x:v>Tanggal laporan</x:v>
      </x:c>
      <x:c r="B4" s="22" t="str">
        <x:v>2026-06-25</x:v>
      </x:c>
    </x:row>
    <x:row r="5">
      <x:c r="A5" s="28" t="str">
        <x:v>Rentang data</x:v>
      </x:c>
      <x:c r="B5" s="22" t="str">
        <x:v>1 Mar 2026 - 25 Jun 2026</x:v>
      </x:c>
    </x:row>
    <x:row r="6">
      <x:c r="A6" s="28" t="str">
        <x:v>Query Gmail</x:v>
      </x:c>
      <x:c r="B6" s="22" t="str">
        <x:v>in:anywhere from:noreply.livin@bankmandiri.co.id after:2026/3/1 before:2026/6/26</x:v>
      </x:c>
    </x:row>
    <x:row r="7">
      <x:c r="A7" s="28" t="str">
        <x:v>Email ditemukan</x:v>
      </x:c>
      <x:c r="B7" s="22" t="n">
        <x:v>181</x:v>
      </x:c>
    </x:row>
    <x:row r="8">
      <x:c r="A8" s="28" t="str">
        <x:v>Baris transaksi sukses</x:v>
      </x:c>
      <x:c r="B8" s="22" t="n">
        <x:v>180</x:v>
      </x:c>
    </x:row>
    <x:row r="9">
      <x:c r="A9" s="28" t="str">
        <x:v>Transaksi gagal</x:v>
      </x:c>
      <x:c r="B9" s="22" t="n">
        <x:v>1</x:v>
      </x:c>
    </x:row>
    <x:row r="10">
      <x:c r="A10" s="28" t="str">
        <x:v>Non-pengeluaran/investasi</x:v>
      </x:c>
      <x:c r="B10" s="22" t="n">
        <x:v>3</x:v>
      </x:c>
    </x:row>
    <x:row r="11">
      <x:c r="A11" s="28" t="str">
        <x:v>Aturan utama</x:v>
      </x:c>
      <x:c r="B11" s="22" t="str">
        <x:v>Transfer diri dan reksa dana dipisahkan dari pengeluaran hidup.</x:v>
      </x:c>
    </x:row>
    <x:row r="12">
      <x:c r="A12" s="28" t="str">
        <x:v>Dompet digital</x:v>
      </x:c>
      <x:c r="B12" s="22" t="str">
        <x:v>Top-up/GoPay Payment tetap arus keluar bank, tetapi perlu breakdown dari aplikasi wallet.</x:v>
      </x:c>
    </x:row>
    <x:row r="13">
      <x:c r="A13" s="28" t="str">
        <x:v>Catatan privasi</x:v>
      </x:c>
      <x:c r="B13" s="22" t="str">
        <x:v>Data sumber berasal dari Gmail pribadi yang diminta user; workbook hanya disimpan lokal.</x:v>
      </x:c>
    </x:row>
  </x:sheetData>
  <x:mergeCells>
    <x:mergeCell ref="A1:B1"/>
    <x:mergeCell ref="A2:J2"/>
  </x:mergeCells>
  <x:pageMargins left="0.7" right="0.7" top="0.75" bottom="0.75" header="0.3" footer="0.3"/>
</x:worksheet>
</file>